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Pipeline summary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Tradeshows" sheetId="6" state="visible" r:id="rId6"/>
  </sheets>
  <definedNames>
    <definedName name="_xlnm._FilterDatabase" localSheetId="1" hidden="1">'Opportunities'!$A$1:$AB$247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E2231A"/>
      <sz val="14"/>
    </font>
    <font>
      <color rgb="00111111"/>
      <sz val="11"/>
    </font>
    <font>
      <b val="1"/>
      <color rgb="00FFFFFF"/>
    </font>
    <font>
      <b val="1"/>
      <color rgb="00E2231A"/>
      <sz val="13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BD5D3"/>
        </patternFill>
      </fill>
    </dxf>
    <dxf>
      <fill>
        <patternFill patternType="solid">
          <fgColor rgb="00D7F0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Lifetime value by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'Pipeline summary'!I2</f>
            </strRef>
          </tx>
          <spPr>
            <a:solidFill xmlns:a="http://schemas.openxmlformats.org/drawingml/2006/main">
              <a:srgbClr val="E2231A"/>
            </a:solidFill>
            <a:ln xmlns:a="http://schemas.openxmlformats.org/drawingml/2006/main">
              <a:prstDash val="solid"/>
            </a:ln>
          </spPr>
          <cat>
            <numRef>
              <f>'Pipeline summary'!$A$3:$A$9</f>
            </numRef>
          </cat>
          <val>
            <numRef>
              <f>'Pipeline summary'!$I$3:$I$9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EMEA Sales Operations Toolkit (demo workbook)</t>
        </is>
      </c>
    </row>
    <row r="2">
      <c r="A2" s="2" t="inlineStr">
        <is>
          <t>All accounts, people and figures are fictional and generated for demonstration.</t>
        </is>
      </c>
    </row>
    <row r="3">
      <c r="A3" s="2" t="inlineStr"/>
    </row>
    <row r="4">
      <c r="A4" s="2" t="inlineStr">
        <is>
          <t>Opportunities: raw CRM export with formula-driven data quality checks (columns V to AB).</t>
        </is>
      </c>
    </row>
    <row r="5">
      <c r="A5" s="2" t="inlineStr">
        <is>
          <t>Pipeline summary: stage x region pivot built with SUMIFS so it updates with the data.</t>
        </is>
      </c>
    </row>
    <row r="6">
      <c r="A6" s="2" t="inlineStr">
        <is>
          <t>Data quality: completeness score per region, target 95%.</t>
        </is>
      </c>
    </row>
    <row r="7">
      <c r="A7" s="2" t="inlineStr">
        <is>
          <t>Forecast: forecast vs actual by quarter with accuracy %.</t>
        </is>
      </c>
    </row>
    <row r="8">
      <c r="A8" s="2" t="inlineStr">
        <is>
          <t>Tradeshows: post-event funnel and cost per qualified lead.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 ht="22" customHeight="1">
      <c r="A1" s="3" t="inlineStr">
        <is>
          <t>opportunity_id</t>
        </is>
      </c>
      <c r="B1" s="3" t="inlineStr">
        <is>
          <t>account</t>
        </is>
      </c>
      <c r="C1" s="3" t="inlineStr">
        <is>
          <t>region</t>
        </is>
      </c>
      <c r="D1" s="3" t="inlineStr">
        <is>
          <t>country</t>
        </is>
      </c>
      <c r="E1" s="3" t="inlineStr">
        <is>
          <t>owner</t>
        </is>
      </c>
      <c r="F1" s="3" t="inlineStr">
        <is>
          <t>vertical</t>
        </is>
      </c>
      <c r="G1" s="3" t="inlineStr">
        <is>
          <t>product_family</t>
        </is>
      </c>
      <c r="H1" s="3" t="inlineStr">
        <is>
          <t>stage</t>
        </is>
      </c>
      <c r="I1" s="3" t="inlineStr">
        <is>
          <t>probability</t>
        </is>
      </c>
      <c r="J1" s="3" t="inlineStr">
        <is>
          <t>annual_units</t>
        </is>
      </c>
      <c r="K1" s="3" t="inlineStr">
        <is>
          <t>asp_usd</t>
        </is>
      </c>
      <c r="L1" s="3" t="inlineStr">
        <is>
          <t>project_life_years</t>
        </is>
      </c>
      <c r="M1" s="3" t="inlineStr">
        <is>
          <t>annual_value_usd</t>
        </is>
      </c>
      <c r="N1" s="3" t="inlineStr">
        <is>
          <t>lifetime_value_usd</t>
        </is>
      </c>
      <c r="O1" s="3" t="inlineStr">
        <is>
          <t>weighted_value_usd</t>
        </is>
      </c>
      <c r="P1" s="3" t="inlineStr">
        <is>
          <t>created_date</t>
        </is>
      </c>
      <c r="Q1" s="3" t="inlineStr">
        <is>
          <t>expected_close</t>
        </is>
      </c>
      <c r="R1" s="3" t="inlineStr">
        <is>
          <t>days_since_update</t>
        </is>
      </c>
      <c r="S1" s="3" t="inlineStr">
        <is>
          <t>next_action</t>
        </is>
      </c>
      <c r="T1" s="3" t="inlineStr">
        <is>
          <t>source</t>
        </is>
      </c>
      <c r="U1" s="3" t="inlineStr">
        <is>
          <t>loss_reason</t>
        </is>
      </c>
      <c r="V1" s="3" t="inlineStr">
        <is>
          <t>chk_next_action</t>
        </is>
      </c>
      <c r="W1" s="3" t="inlineStr">
        <is>
          <t>chk_volume</t>
        </is>
      </c>
      <c r="X1" s="3" t="inlineStr">
        <is>
          <t>chk_vertical</t>
        </is>
      </c>
      <c r="Y1" s="3" t="inlineStr">
        <is>
          <t>chk_close_past</t>
        </is>
      </c>
      <c r="Z1" s="3" t="inlineStr">
        <is>
          <t>chk_stale</t>
        </is>
      </c>
      <c r="AA1" s="3" t="inlineStr">
        <is>
          <t>chk_duplicate</t>
        </is>
      </c>
      <c r="AB1" s="3" t="inlineStr">
        <is>
          <t>issues</t>
        </is>
      </c>
    </row>
    <row r="2">
      <c r="A2" t="inlineStr">
        <is>
          <t>OPP-26000</t>
        </is>
      </c>
      <c r="B2" t="inlineStr">
        <is>
          <t>Sava Electronics</t>
        </is>
      </c>
      <c r="C2" t="inlineStr">
        <is>
          <t>UK &amp; Ireland</t>
        </is>
      </c>
      <c r="D2" t="inlineStr">
        <is>
          <t>United Kingdom</t>
        </is>
      </c>
      <c r="E2" t="inlineStr">
        <is>
          <t>R. Patel</t>
        </is>
      </c>
      <c r="F2" t="inlineStr">
        <is>
          <t>Industrial IoT</t>
        </is>
      </c>
      <c r="G2" t="inlineStr">
        <is>
          <t>LTE Cat 1 bis</t>
        </is>
      </c>
      <c r="H2" t="inlineStr">
        <is>
          <t>Pilot</t>
        </is>
      </c>
      <c r="I2" t="n">
        <v>0.85</v>
      </c>
      <c r="J2" t="n">
        <v>20000</v>
      </c>
      <c r="K2" t="n">
        <v>10.24</v>
      </c>
      <c r="L2" t="n">
        <v>3</v>
      </c>
      <c r="M2" t="n">
        <v>204800</v>
      </c>
      <c r="N2" t="n">
        <v>614400</v>
      </c>
      <c r="O2" t="n">
        <v>522240</v>
      </c>
      <c r="P2" t="inlineStr">
        <is>
          <t>2025-12-31</t>
        </is>
      </c>
      <c r="Q2" t="inlineStr">
        <is>
          <t>2026-11-30</t>
        </is>
      </c>
      <c r="R2" t="n">
        <v>79</v>
      </c>
      <c r="S2" t="inlineStr">
        <is>
          <t>Certification plan</t>
        </is>
      </c>
      <c r="T2" t="inlineStr">
        <is>
          <t>Website</t>
        </is>
      </c>
      <c r="U2" t="inlineStr"/>
      <c r="V2">
        <f>IF(S2="",1,0)</f>
        <v/>
      </c>
      <c r="W2">
        <f>IF(J2="",1,0)</f>
        <v/>
      </c>
      <c r="X2">
        <f>IF(F2="",1,0)</f>
        <v/>
      </c>
      <c r="Y2">
        <f>IF(AND(AND(H2&lt;&gt;"Mass production",H2&lt;&gt;"Lost"),DATEVALUE(Q2)&lt;DATE(2026,10,20)),1,0)</f>
        <v/>
      </c>
      <c r="Z2">
        <f>IF(AND(AND(H2&lt;&gt;"Mass production",H2&lt;&gt;"Lost"),R2&gt;30),1,0)</f>
        <v/>
      </c>
      <c r="AA2">
        <f>IF(COUNTIFS($G$2:$G$247,G2,$F$2:$F$247,F2,$J$2:$J$247,J2,$K$2:$K$247,K2)&gt;1,1,0)</f>
        <v/>
      </c>
      <c r="AB2">
        <f>SUM(V2:AA2)</f>
        <v/>
      </c>
    </row>
    <row r="3">
      <c r="A3" t="inlineStr">
        <is>
          <t>OPP-26001</t>
        </is>
      </c>
      <c r="B3" t="inlineStr">
        <is>
          <t>Nordwind Connect</t>
        </is>
      </c>
      <c r="C3" t="inlineStr">
        <is>
          <t>UK &amp; Ireland</t>
        </is>
      </c>
      <c r="D3" t="inlineStr">
        <is>
          <t>United Kingdom</t>
        </is>
      </c>
      <c r="E3" t="inlineStr">
        <is>
          <t>R. Patel</t>
        </is>
      </c>
      <c r="F3" t="inlineStr">
        <is>
          <t>Healthcare</t>
        </is>
      </c>
      <c r="G3" t="inlineStr">
        <is>
          <t>Wi-Fi / Bluetooth</t>
        </is>
      </c>
      <c r="H3" t="inlineStr">
        <is>
          <t>Mass production</t>
        </is>
      </c>
      <c r="I3" t="n">
        <v>1</v>
      </c>
      <c r="J3" t="n">
        <v>2000</v>
      </c>
      <c r="K3" t="n">
        <v>3.3</v>
      </c>
      <c r="L3" t="n">
        <v>3</v>
      </c>
      <c r="M3" t="n">
        <v>6600</v>
      </c>
      <c r="N3" t="n">
        <v>19800</v>
      </c>
      <c r="O3" t="n">
        <v>19800</v>
      </c>
      <c r="P3" t="inlineStr">
        <is>
          <t>2025-08-18</t>
        </is>
      </c>
      <c r="Q3" t="inlineStr">
        <is>
          <t>2026-06-02</t>
        </is>
      </c>
      <c r="R3" t="n">
        <v>13</v>
      </c>
      <c r="S3" t="inlineStr">
        <is>
          <t>Send samples</t>
        </is>
      </c>
      <c r="T3" t="inlineStr">
        <is>
          <t>Direct</t>
        </is>
      </c>
      <c r="U3" t="inlineStr"/>
      <c r="V3">
        <f>IF(S3="",1,0)</f>
        <v/>
      </c>
      <c r="W3">
        <f>IF(J3="",1,0)</f>
        <v/>
      </c>
      <c r="X3">
        <f>IF(F3="",1,0)</f>
        <v/>
      </c>
      <c r="Y3">
        <f>IF(AND(AND(H3&lt;&gt;"Mass production",H3&lt;&gt;"Lost"),DATEVALUE(Q3)&lt;DATE(2026,10,20)),1,0)</f>
        <v/>
      </c>
      <c r="Z3">
        <f>IF(AND(AND(H3&lt;&gt;"Mass production",H3&lt;&gt;"Lost"),R3&gt;30),1,0)</f>
        <v/>
      </c>
      <c r="AA3">
        <f>IF(COUNTIFS($G$2:$G$247,G3,$F$2:$F$247,F3,$J$2:$J$247,J3,$K$2:$K$247,K3)&gt;1,1,0)</f>
        <v/>
      </c>
      <c r="AB3">
        <f>SUM(V3:AA3)</f>
        <v/>
      </c>
    </row>
    <row r="4">
      <c r="A4" t="inlineStr">
        <is>
          <t>OPP-26002</t>
        </is>
      </c>
      <c r="B4" t="inlineStr">
        <is>
          <t>Sava Electronics</t>
        </is>
      </c>
      <c r="C4" t="inlineStr">
        <is>
          <t>UK &amp; Ireland</t>
        </is>
      </c>
      <c r="D4" t="inlineStr">
        <is>
          <t>United Kingdom</t>
        </is>
      </c>
      <c r="E4" t="inlineStr">
        <is>
          <t>S. Clarke</t>
        </is>
      </c>
      <c r="F4" t="inlineStr">
        <is>
          <t>POS &amp; payments</t>
        </is>
      </c>
      <c r="G4" t="inlineStr">
        <is>
          <t>LTE Cat 1 bis</t>
        </is>
      </c>
      <c r="H4" t="inlineStr">
        <is>
          <t>Design-win</t>
        </is>
      </c>
      <c r="I4" t="n">
        <v>0.7</v>
      </c>
      <c r="J4" t="n">
        <v>80000</v>
      </c>
      <c r="K4" t="n">
        <v>7.63</v>
      </c>
      <c r="L4" t="n">
        <v>4</v>
      </c>
      <c r="M4" t="n">
        <v>610400</v>
      </c>
      <c r="N4" t="n">
        <v>2441600</v>
      </c>
      <c r="O4" t="n">
        <v>1709120</v>
      </c>
      <c r="P4" t="inlineStr">
        <is>
          <t>2025-10-12</t>
        </is>
      </c>
      <c r="Q4" t="inlineStr">
        <is>
          <t>2027-02-17</t>
        </is>
      </c>
      <c r="R4" t="n">
        <v>80</v>
      </c>
      <c r="S4" t="inlineStr"/>
      <c r="T4" t="inlineStr">
        <is>
          <t>Tradeshow</t>
        </is>
      </c>
      <c r="U4" t="inlineStr"/>
      <c r="V4">
        <f>IF(S4="",1,0)</f>
        <v/>
      </c>
      <c r="W4">
        <f>IF(J4="",1,0)</f>
        <v/>
      </c>
      <c r="X4">
        <f>IF(F4="",1,0)</f>
        <v/>
      </c>
      <c r="Y4">
        <f>IF(AND(AND(H4&lt;&gt;"Mass production",H4&lt;&gt;"Lost"),DATEVALUE(Q4)&lt;DATE(2026,10,20)),1,0)</f>
        <v/>
      </c>
      <c r="Z4">
        <f>IF(AND(AND(H4&lt;&gt;"Mass production",H4&lt;&gt;"Lost"),R4&gt;30),1,0)</f>
        <v/>
      </c>
      <c r="AA4">
        <f>IF(COUNTIFS($G$2:$G$247,G4,$F$2:$F$247,F4,$J$2:$J$247,J4,$K$2:$K$247,K4)&gt;1,1,0)</f>
        <v/>
      </c>
      <c r="AB4">
        <f>SUM(V4:AA4)</f>
        <v/>
      </c>
    </row>
    <row r="5">
      <c r="A5" t="inlineStr">
        <is>
          <t>OPP-26003</t>
        </is>
      </c>
      <c r="B5" t="inlineStr">
        <is>
          <t>Ferro Metering</t>
        </is>
      </c>
      <c r="C5" t="inlineStr">
        <is>
          <t>Middle East &amp; Africa</t>
        </is>
      </c>
      <c r="D5" t="inlineStr">
        <is>
          <t>Israel</t>
        </is>
      </c>
      <c r="E5" t="inlineStr">
        <is>
          <t>Y. Cohen</t>
        </is>
      </c>
      <c r="F5" t="inlineStr">
        <is>
          <t>POS &amp; payments</t>
        </is>
      </c>
      <c r="G5" t="inlineStr">
        <is>
          <t>Smart module</t>
        </is>
      </c>
      <c r="H5" t="inlineStr">
        <is>
          <t>Design-win</t>
        </is>
      </c>
      <c r="I5" t="n">
        <v>0.7</v>
      </c>
      <c r="J5" t="n">
        <v>8000</v>
      </c>
      <c r="K5" t="n">
        <v>81.84999999999999</v>
      </c>
      <c r="L5" t="n">
        <v>3</v>
      </c>
      <c r="M5" t="n">
        <v>654800</v>
      </c>
      <c r="N5" t="n">
        <v>1964400</v>
      </c>
      <c r="O5" t="n">
        <v>1375080</v>
      </c>
      <c r="P5" t="inlineStr">
        <is>
          <t>2025-07-16</t>
        </is>
      </c>
      <c r="Q5" t="inlineStr">
        <is>
          <t>2026-10-15</t>
        </is>
      </c>
      <c r="R5" t="n">
        <v>10</v>
      </c>
      <c r="S5" t="inlineStr">
        <is>
          <t>Pilot build follow-up</t>
        </is>
      </c>
      <c r="T5" t="inlineStr">
        <is>
          <t>Tradeshow</t>
        </is>
      </c>
      <c r="U5" t="inlineStr"/>
      <c r="V5">
        <f>IF(S5="",1,0)</f>
        <v/>
      </c>
      <c r="W5">
        <f>IF(J5="",1,0)</f>
        <v/>
      </c>
      <c r="X5">
        <f>IF(F5="",1,0)</f>
        <v/>
      </c>
      <c r="Y5">
        <f>IF(AND(AND(H5&lt;&gt;"Mass production",H5&lt;&gt;"Lost"),DATEVALUE(Q5)&lt;DATE(2026,10,20)),1,0)</f>
        <v/>
      </c>
      <c r="Z5">
        <f>IF(AND(AND(H5&lt;&gt;"Mass production",H5&lt;&gt;"Lost"),R5&gt;30),1,0)</f>
        <v/>
      </c>
      <c r="AA5">
        <f>IF(COUNTIFS($G$2:$G$247,G5,$F$2:$F$247,F5,$J$2:$J$247,J5,$K$2:$K$247,K5)&gt;1,1,0)</f>
        <v/>
      </c>
      <c r="AB5">
        <f>SUM(V5:AA5)</f>
        <v/>
      </c>
    </row>
    <row r="6">
      <c r="A6" t="inlineStr">
        <is>
          <t>OPP-26004</t>
        </is>
      </c>
      <c r="B6" t="inlineStr">
        <is>
          <t>Morava Systems</t>
        </is>
      </c>
      <c r="C6" t="inlineStr">
        <is>
          <t>France &amp; Benelux</t>
        </is>
      </c>
      <c r="D6" t="inlineStr">
        <is>
          <t>Netherlands</t>
        </is>
      </c>
      <c r="E6" t="inlineStr">
        <is>
          <t>B. de Vries</t>
        </is>
      </c>
      <c r="F6" t="inlineStr">
        <is>
          <t>Healthcare</t>
        </is>
      </c>
      <c r="G6" t="inlineStr">
        <is>
          <t>5G eMBB</t>
        </is>
      </c>
      <c r="H6" t="inlineStr">
        <is>
          <t>Sample / Evaluation</t>
        </is>
      </c>
      <c r="I6" t="n">
        <v>0.2</v>
      </c>
      <c r="J6" t="n">
        <v>20000</v>
      </c>
      <c r="K6" t="n">
        <v>95.55</v>
      </c>
      <c r="L6" t="n">
        <v>3</v>
      </c>
      <c r="M6" t="n">
        <v>1911000</v>
      </c>
      <c r="N6" t="n">
        <v>5733000</v>
      </c>
      <c r="O6" t="n">
        <v>1146600</v>
      </c>
      <c r="P6" t="inlineStr">
        <is>
          <t>2025-02-25</t>
        </is>
      </c>
      <c r="Q6" t="inlineStr">
        <is>
          <t>2027-02-11</t>
        </is>
      </c>
      <c r="R6" t="n">
        <v>6</v>
      </c>
      <c r="S6" t="inlineStr">
        <is>
          <t>Price negotiation</t>
        </is>
      </c>
      <c r="T6" t="inlineStr">
        <is>
          <t>Distributor</t>
        </is>
      </c>
      <c r="U6" t="inlineStr"/>
      <c r="V6">
        <f>IF(S6="",1,0)</f>
        <v/>
      </c>
      <c r="W6">
        <f>IF(J6="",1,0)</f>
        <v/>
      </c>
      <c r="X6">
        <f>IF(F6="",1,0)</f>
        <v/>
      </c>
      <c r="Y6">
        <f>IF(AND(AND(H6&lt;&gt;"Mass production",H6&lt;&gt;"Lost"),DATEVALUE(Q6)&lt;DATE(2026,10,20)),1,0)</f>
        <v/>
      </c>
      <c r="Z6">
        <f>IF(AND(AND(H6&lt;&gt;"Mass production",H6&lt;&gt;"Lost"),R6&gt;30),1,0)</f>
        <v/>
      </c>
      <c r="AA6">
        <f>IF(COUNTIFS($G$2:$G$247,G6,$F$2:$F$247,F6,$J$2:$J$247,J6,$K$2:$K$247,K6)&gt;1,1,0)</f>
        <v/>
      </c>
      <c r="AB6">
        <f>SUM(V6:AA6)</f>
        <v/>
      </c>
    </row>
    <row r="7">
      <c r="A7" t="inlineStr">
        <is>
          <t>OPP-26005</t>
        </is>
      </c>
      <c r="B7" t="inlineStr">
        <is>
          <t>Stellar Devices</t>
        </is>
      </c>
      <c r="C7" t="inlineStr">
        <is>
          <t>UK &amp; Ireland</t>
        </is>
      </c>
      <c r="D7" t="inlineStr">
        <is>
          <t>United Kingdom</t>
        </is>
      </c>
      <c r="E7" t="inlineStr">
        <is>
          <t>S. Clarke</t>
        </is>
      </c>
      <c r="F7" t="inlineStr">
        <is>
          <t>POS &amp; payments</t>
        </is>
      </c>
      <c r="G7" t="inlineStr">
        <is>
          <t>Wi-Fi / Bluetooth</t>
        </is>
      </c>
      <c r="H7" t="inlineStr">
        <is>
          <t>Design-in</t>
        </is>
      </c>
      <c r="I7" t="n">
        <v>0.4</v>
      </c>
      <c r="J7" t="n">
        <v>3000</v>
      </c>
      <c r="K7" t="n">
        <v>5.08</v>
      </c>
      <c r="L7" t="n">
        <v>3</v>
      </c>
      <c r="M7" t="n">
        <v>15240</v>
      </c>
      <c r="N7" t="n">
        <v>45720</v>
      </c>
      <c r="O7" t="n">
        <v>18288</v>
      </c>
      <c r="P7" t="inlineStr">
        <is>
          <t>2025-04-21</t>
        </is>
      </c>
      <c r="Q7" t="inlineStr">
        <is>
          <t>2026-10-05</t>
        </is>
      </c>
      <c r="R7" t="n">
        <v>25</v>
      </c>
      <c r="S7" t="inlineStr">
        <is>
          <t>Certification plan</t>
        </is>
      </c>
      <c r="T7" t="inlineStr">
        <is>
          <t>Website</t>
        </is>
      </c>
      <c r="U7" t="inlineStr"/>
      <c r="V7">
        <f>IF(S7="",1,0)</f>
        <v/>
      </c>
      <c r="W7">
        <f>IF(J7="",1,0)</f>
        <v/>
      </c>
      <c r="X7">
        <f>IF(F7="",1,0)</f>
        <v/>
      </c>
      <c r="Y7">
        <f>IF(AND(AND(H7&lt;&gt;"Mass production",H7&lt;&gt;"Lost"),DATEVALUE(Q7)&lt;DATE(2026,10,20)),1,0)</f>
        <v/>
      </c>
      <c r="Z7">
        <f>IF(AND(AND(H7&lt;&gt;"Mass production",H7&lt;&gt;"Lost"),R7&gt;30),1,0)</f>
        <v/>
      </c>
      <c r="AA7">
        <f>IF(COUNTIFS($G$2:$G$247,G7,$F$2:$F$247,F7,$J$2:$J$247,J7,$K$2:$K$247,K7)&gt;1,1,0)</f>
        <v/>
      </c>
      <c r="AB7">
        <f>SUM(V7:AA7)</f>
        <v/>
      </c>
    </row>
    <row r="8">
      <c r="A8" t="inlineStr">
        <is>
          <t>OPP-26006</t>
        </is>
      </c>
      <c r="B8" t="inlineStr">
        <is>
          <t>Atlas Industrial</t>
        </is>
      </c>
      <c r="C8" t="inlineStr">
        <is>
          <t>France &amp; Benelux</t>
        </is>
      </c>
      <c r="D8" t="inlineStr">
        <is>
          <t>Belgium</t>
        </is>
      </c>
      <c r="E8" t="inlineStr">
        <is>
          <t>C. Martin</t>
        </is>
      </c>
      <c r="F8" t="inlineStr"/>
      <c r="G8" t="inlineStr">
        <is>
          <t>GNSS</t>
        </is>
      </c>
      <c r="H8" t="inlineStr">
        <is>
          <t>Lost</t>
        </is>
      </c>
      <c r="I8" t="n">
        <v>0</v>
      </c>
      <c r="J8" t="n">
        <v>3000</v>
      </c>
      <c r="K8" t="n">
        <v>8.17</v>
      </c>
      <c r="L8" t="n">
        <v>4</v>
      </c>
      <c r="M8" t="n">
        <v>24510</v>
      </c>
      <c r="N8" t="n">
        <v>98040</v>
      </c>
      <c r="O8" t="n">
        <v>0</v>
      </c>
      <c r="P8" t="inlineStr">
        <is>
          <t>2025-08-02</t>
        </is>
      </c>
      <c r="Q8" t="inlineStr">
        <is>
          <t>2026-09-20</t>
        </is>
      </c>
      <c r="R8" t="n">
        <v>11</v>
      </c>
      <c r="S8" t="inlineStr">
        <is>
          <t>Technical review call</t>
        </is>
      </c>
      <c r="T8" t="inlineStr">
        <is>
          <t>Tradeshow</t>
        </is>
      </c>
      <c r="U8" t="inlineStr">
        <is>
          <t>Competitor module</t>
        </is>
      </c>
      <c r="V8">
        <f>IF(S8="",1,0)</f>
        <v/>
      </c>
      <c r="W8">
        <f>IF(J8="",1,0)</f>
        <v/>
      </c>
      <c r="X8">
        <f>IF(F8="",1,0)</f>
        <v/>
      </c>
      <c r="Y8">
        <f>IF(AND(AND(H8&lt;&gt;"Mass production",H8&lt;&gt;"Lost"),DATEVALUE(Q8)&lt;DATE(2026,10,20)),1,0)</f>
        <v/>
      </c>
      <c r="Z8">
        <f>IF(AND(AND(H8&lt;&gt;"Mass production",H8&lt;&gt;"Lost"),R8&gt;30),1,0)</f>
        <v/>
      </c>
      <c r="AA8">
        <f>IF(COUNTIFS($G$2:$G$247,G8,$F$2:$F$247,F8,$J$2:$J$247,J8,$K$2:$K$247,K8)&gt;1,1,0)</f>
        <v/>
      </c>
      <c r="AB8">
        <f>SUM(V8:AA8)</f>
        <v/>
      </c>
    </row>
    <row r="9">
      <c r="A9" t="inlineStr">
        <is>
          <t>OPP-26007</t>
        </is>
      </c>
      <c r="B9" t="inlineStr">
        <is>
          <t>Morava Systems</t>
        </is>
      </c>
      <c r="C9" t="inlineStr">
        <is>
          <t>France &amp; Benelux</t>
        </is>
      </c>
      <c r="D9" t="inlineStr">
        <is>
          <t>Netherlands</t>
        </is>
      </c>
      <c r="E9" t="inlineStr">
        <is>
          <t>B. de Vries</t>
        </is>
      </c>
      <c r="F9" t="inlineStr">
        <is>
          <t>Telematics</t>
        </is>
      </c>
      <c r="G9" t="inlineStr">
        <is>
          <t>5G RedCap</t>
        </is>
      </c>
      <c r="H9" t="inlineStr">
        <is>
          <t>Design-in</t>
        </is>
      </c>
      <c r="I9" t="n">
        <v>0.4</v>
      </c>
      <c r="J9" t="n">
        <v>3000</v>
      </c>
      <c r="K9" t="n">
        <v>51.38</v>
      </c>
      <c r="L9" t="n">
        <v>4</v>
      </c>
      <c r="M9" t="n">
        <v>154140</v>
      </c>
      <c r="N9" t="n">
        <v>616560</v>
      </c>
      <c r="O9" t="n">
        <v>246624</v>
      </c>
      <c r="P9" t="inlineStr">
        <is>
          <t>2026-05-17</t>
        </is>
      </c>
      <c r="Q9" t="inlineStr">
        <is>
          <t>2027-05-05</t>
        </is>
      </c>
      <c r="R9" t="n">
        <v>25</v>
      </c>
      <c r="S9" t="inlineStr">
        <is>
          <t>Quote revision</t>
        </is>
      </c>
      <c r="T9" t="inlineStr">
        <is>
          <t>Tradeshow</t>
        </is>
      </c>
      <c r="U9" t="inlineStr"/>
      <c r="V9">
        <f>IF(S9="",1,0)</f>
        <v/>
      </c>
      <c r="W9">
        <f>IF(J9="",1,0)</f>
        <v/>
      </c>
      <c r="X9">
        <f>IF(F9="",1,0)</f>
        <v/>
      </c>
      <c r="Y9">
        <f>IF(AND(AND(H9&lt;&gt;"Mass production",H9&lt;&gt;"Lost"),DATEVALUE(Q9)&lt;DATE(2026,10,20)),1,0)</f>
        <v/>
      </c>
      <c r="Z9">
        <f>IF(AND(AND(H9&lt;&gt;"Mass production",H9&lt;&gt;"Lost"),R9&gt;30),1,0)</f>
        <v/>
      </c>
      <c r="AA9">
        <f>IF(COUNTIFS($G$2:$G$247,G9,$F$2:$F$247,F9,$J$2:$J$247,J9,$K$2:$K$247,K9)&gt;1,1,0)</f>
        <v/>
      </c>
      <c r="AB9">
        <f>SUM(V9:AA9)</f>
        <v/>
      </c>
    </row>
    <row r="10">
      <c r="A10" t="inlineStr">
        <is>
          <t>OPP-26008</t>
        </is>
      </c>
      <c r="B10" t="inlineStr">
        <is>
          <t>Rhenus Tracking</t>
        </is>
      </c>
      <c r="C10" t="inlineStr">
        <is>
          <t>UK &amp; Ireland</t>
        </is>
      </c>
      <c r="D10" t="inlineStr">
        <is>
          <t>Ireland</t>
        </is>
      </c>
      <c r="E10" t="inlineStr">
        <is>
          <t>R. Patel</t>
        </is>
      </c>
      <c r="F10" t="inlineStr">
        <is>
          <t>Healthcare</t>
        </is>
      </c>
      <c r="G10" t="inlineStr">
        <is>
          <t>Wi-Fi / Bluetooth</t>
        </is>
      </c>
      <c r="H10" t="inlineStr">
        <is>
          <t>Pilot</t>
        </is>
      </c>
      <c r="I10" t="n">
        <v>0.85</v>
      </c>
      <c r="J10" t="n">
        <v>50000</v>
      </c>
      <c r="K10" t="n">
        <v>4.73</v>
      </c>
      <c r="L10" t="n">
        <v>4</v>
      </c>
      <c r="M10" t="n">
        <v>236500</v>
      </c>
      <c r="N10" t="n">
        <v>946000</v>
      </c>
      <c r="O10" t="n">
        <v>804100</v>
      </c>
      <c r="P10" t="inlineStr">
        <is>
          <t>2026-01-29</t>
        </is>
      </c>
      <c r="Q10" t="inlineStr">
        <is>
          <t>2027-01-28</t>
        </is>
      </c>
      <c r="R10" t="n">
        <v>7</v>
      </c>
      <c r="S10" t="inlineStr">
        <is>
          <t>Technical review call</t>
        </is>
      </c>
      <c r="T10" t="inlineStr">
        <is>
          <t>Direct</t>
        </is>
      </c>
      <c r="U10" t="inlineStr"/>
      <c r="V10">
        <f>IF(S10="",1,0)</f>
        <v/>
      </c>
      <c r="W10">
        <f>IF(J10="",1,0)</f>
        <v/>
      </c>
      <c r="X10">
        <f>IF(F10="",1,0)</f>
        <v/>
      </c>
      <c r="Y10">
        <f>IF(AND(AND(H10&lt;&gt;"Mass production",H10&lt;&gt;"Lost"),DATEVALUE(Q10)&lt;DATE(2026,10,20)),1,0)</f>
        <v/>
      </c>
      <c r="Z10">
        <f>IF(AND(AND(H10&lt;&gt;"Mass production",H10&lt;&gt;"Lost"),R10&gt;30),1,0)</f>
        <v/>
      </c>
      <c r="AA10">
        <f>IF(COUNTIFS($G$2:$G$247,G10,$F$2:$F$247,F10,$J$2:$J$247,J10,$K$2:$K$247,K10)&gt;1,1,0)</f>
        <v/>
      </c>
      <c r="AB10">
        <f>SUM(V10:AA10)</f>
        <v/>
      </c>
    </row>
    <row r="11">
      <c r="A11" t="inlineStr">
        <is>
          <t>OPP-26009</t>
        </is>
      </c>
      <c r="B11" t="inlineStr">
        <is>
          <t>Corvid Health</t>
        </is>
      </c>
      <c r="C11" t="inlineStr">
        <is>
          <t>DACH</t>
        </is>
      </c>
      <c r="D11" t="inlineStr">
        <is>
          <t>Germany</t>
        </is>
      </c>
      <c r="E11" t="inlineStr">
        <is>
          <t>L. Hoffmann</t>
        </is>
      </c>
      <c r="F11" t="inlineStr">
        <is>
          <t>Smart metering</t>
        </is>
      </c>
      <c r="G11" t="inlineStr">
        <is>
          <t>5G eMBB</t>
        </is>
      </c>
      <c r="H11" t="inlineStr">
        <is>
          <t>Qualified</t>
        </is>
      </c>
      <c r="I11" t="n">
        <v>0.1</v>
      </c>
      <c r="J11" t="n">
        <v>20000</v>
      </c>
      <c r="K11" t="n">
        <v>88.53</v>
      </c>
      <c r="L11" t="n">
        <v>3</v>
      </c>
      <c r="M11" t="n">
        <v>1770600</v>
      </c>
      <c r="N11" t="n">
        <v>5311800</v>
      </c>
      <c r="O11" t="n">
        <v>531180</v>
      </c>
      <c r="P11" t="inlineStr">
        <is>
          <t>2025-03-24</t>
        </is>
      </c>
      <c r="Q11" t="inlineStr">
        <is>
          <t>2027-05-06</t>
        </is>
      </c>
      <c r="R11" t="n">
        <v>57</v>
      </c>
      <c r="S11" t="inlineStr">
        <is>
          <t>Design review</t>
        </is>
      </c>
      <c r="T11" t="inlineStr">
        <is>
          <t>Distributor</t>
        </is>
      </c>
      <c r="U11" t="inlineStr"/>
      <c r="V11">
        <f>IF(S11="",1,0)</f>
        <v/>
      </c>
      <c r="W11">
        <f>IF(J11="",1,0)</f>
        <v/>
      </c>
      <c r="X11">
        <f>IF(F11="",1,0)</f>
        <v/>
      </c>
      <c r="Y11">
        <f>IF(AND(AND(H11&lt;&gt;"Mass production",H11&lt;&gt;"Lost"),DATEVALUE(Q11)&lt;DATE(2026,10,20)),1,0)</f>
        <v/>
      </c>
      <c r="Z11">
        <f>IF(AND(AND(H11&lt;&gt;"Mass production",H11&lt;&gt;"Lost"),R11&gt;30),1,0)</f>
        <v/>
      </c>
      <c r="AA11">
        <f>IF(COUNTIFS($G$2:$G$247,G11,$F$2:$F$247,F11,$J$2:$J$247,J11,$K$2:$K$247,K11)&gt;1,1,0)</f>
        <v/>
      </c>
      <c r="AB11">
        <f>SUM(V11:AA11)</f>
        <v/>
      </c>
    </row>
    <row r="12">
      <c r="A12" t="inlineStr">
        <is>
          <t>OPP-26010</t>
        </is>
      </c>
      <c r="B12" t="inlineStr">
        <is>
          <t>Orbis Systems</t>
        </is>
      </c>
      <c r="C12" t="inlineStr">
        <is>
          <t>France &amp; Benelux</t>
        </is>
      </c>
      <c r="D12" t="inlineStr">
        <is>
          <t>Belgium</t>
        </is>
      </c>
      <c r="E12" t="inlineStr">
        <is>
          <t>C. Martin</t>
        </is>
      </c>
      <c r="F12" t="inlineStr">
        <is>
          <t>Smart home &amp; security</t>
        </is>
      </c>
      <c r="G12" t="inlineStr">
        <is>
          <t>Wi-Fi / Bluetooth</t>
        </is>
      </c>
      <c r="H12" t="inlineStr">
        <is>
          <t>Pilot</t>
        </is>
      </c>
      <c r="I12" t="n">
        <v>0.85</v>
      </c>
      <c r="J12" t="n">
        <v>20000</v>
      </c>
      <c r="K12" t="n">
        <v>5.62</v>
      </c>
      <c r="L12" t="n">
        <v>5</v>
      </c>
      <c r="M12" t="n">
        <v>112400</v>
      </c>
      <c r="N12" t="n">
        <v>562000</v>
      </c>
      <c r="O12" t="n">
        <v>477700</v>
      </c>
      <c r="P12" t="inlineStr">
        <is>
          <t>2025-03-20</t>
        </is>
      </c>
      <c r="Q12" t="inlineStr">
        <is>
          <t>2026-12-31</t>
        </is>
      </c>
      <c r="R12" t="n">
        <v>7</v>
      </c>
      <c r="S12" t="inlineStr">
        <is>
          <t>Forecast confirmation</t>
        </is>
      </c>
      <c r="T12" t="inlineStr">
        <is>
          <t>Tradeshow</t>
        </is>
      </c>
      <c r="U12" t="inlineStr"/>
      <c r="V12">
        <f>IF(S12="",1,0)</f>
        <v/>
      </c>
      <c r="W12">
        <f>IF(J12="",1,0)</f>
        <v/>
      </c>
      <c r="X12">
        <f>IF(F12="",1,0)</f>
        <v/>
      </c>
      <c r="Y12">
        <f>IF(AND(AND(H12&lt;&gt;"Mass production",H12&lt;&gt;"Lost"),DATEVALUE(Q12)&lt;DATE(2026,10,20)),1,0)</f>
        <v/>
      </c>
      <c r="Z12">
        <f>IF(AND(AND(H12&lt;&gt;"Mass production",H12&lt;&gt;"Lost"),R12&gt;30),1,0)</f>
        <v/>
      </c>
      <c r="AA12">
        <f>IF(COUNTIFS($G$2:$G$247,G12,$F$2:$F$247,F12,$J$2:$J$247,J12,$K$2:$K$247,K12)&gt;1,1,0)</f>
        <v/>
      </c>
      <c r="AB12">
        <f>SUM(V12:AA12)</f>
        <v/>
      </c>
    </row>
    <row r="13">
      <c r="A13" t="inlineStr">
        <is>
          <t>OPP-26011</t>
        </is>
      </c>
      <c r="B13" t="inlineStr">
        <is>
          <t>Zenit Telematics</t>
        </is>
      </c>
      <c r="C13" t="inlineStr">
        <is>
          <t>UK &amp; Ireland</t>
        </is>
      </c>
      <c r="D13" t="inlineStr">
        <is>
          <t>Ireland</t>
        </is>
      </c>
      <c r="E13" t="inlineStr">
        <is>
          <t>S. Clarke</t>
        </is>
      </c>
      <c r="F13" t="inlineStr">
        <is>
          <t>Telematics</t>
        </is>
      </c>
      <c r="G13" t="inlineStr">
        <is>
          <t>LTE-M / NB-IoT</t>
        </is>
      </c>
      <c r="H13" t="inlineStr">
        <is>
          <t>Qualified</t>
        </is>
      </c>
      <c r="I13" t="n">
        <v>0.1</v>
      </c>
      <c r="J13" t="n">
        <v>80000</v>
      </c>
      <c r="K13" t="n">
        <v>8.26</v>
      </c>
      <c r="L13" t="n">
        <v>5</v>
      </c>
      <c r="M13" t="n">
        <v>660800</v>
      </c>
      <c r="N13" t="n">
        <v>3304000</v>
      </c>
      <c r="O13" t="n">
        <v>330400</v>
      </c>
      <c r="P13" t="inlineStr">
        <is>
          <t>2026-09-03</t>
        </is>
      </c>
      <c r="Q13" t="inlineStr">
        <is>
          <t>2027-03-30</t>
        </is>
      </c>
      <c r="R13" t="n">
        <v>15</v>
      </c>
      <c r="S13" t="inlineStr">
        <is>
          <t>Quote revision</t>
        </is>
      </c>
      <c r="T13" t="inlineStr">
        <is>
          <t>Direct</t>
        </is>
      </c>
      <c r="U13" t="inlineStr"/>
      <c r="V13">
        <f>IF(S13="",1,0)</f>
        <v/>
      </c>
      <c r="W13">
        <f>IF(J13="",1,0)</f>
        <v/>
      </c>
      <c r="X13">
        <f>IF(F13="",1,0)</f>
        <v/>
      </c>
      <c r="Y13">
        <f>IF(AND(AND(H13&lt;&gt;"Mass production",H13&lt;&gt;"Lost"),DATEVALUE(Q13)&lt;DATE(2026,10,20)),1,0)</f>
        <v/>
      </c>
      <c r="Z13">
        <f>IF(AND(AND(H13&lt;&gt;"Mass production",H13&lt;&gt;"Lost"),R13&gt;30),1,0)</f>
        <v/>
      </c>
      <c r="AA13">
        <f>IF(COUNTIFS($G$2:$G$247,G13,$F$2:$F$247,F13,$J$2:$J$247,J13,$K$2:$K$247,K13)&gt;1,1,0)</f>
        <v/>
      </c>
      <c r="AB13">
        <f>SUM(V13:AA13)</f>
        <v/>
      </c>
    </row>
    <row r="14">
      <c r="A14" t="inlineStr">
        <is>
          <t>OPP-26012</t>
        </is>
      </c>
      <c r="B14" t="inlineStr">
        <is>
          <t>Orbis Devices</t>
        </is>
      </c>
      <c r="C14" t="inlineStr">
        <is>
          <t>Middle East &amp; Africa</t>
        </is>
      </c>
      <c r="D14" t="inlineStr">
        <is>
          <t>UAE</t>
        </is>
      </c>
      <c r="E14" t="inlineStr">
        <is>
          <t>Y. Cohen</t>
        </is>
      </c>
      <c r="F14" t="inlineStr">
        <is>
          <t>Healthcare</t>
        </is>
      </c>
      <c r="G14" t="inlineStr">
        <is>
          <t>LTE Cat 1 bis</t>
        </is>
      </c>
      <c r="H14" t="inlineStr">
        <is>
          <t>Design-in</t>
        </is>
      </c>
      <c r="I14" t="n">
        <v>0.4</v>
      </c>
      <c r="J14" t="n">
        <v>20000</v>
      </c>
      <c r="K14" t="n">
        <v>10.16</v>
      </c>
      <c r="L14" t="n">
        <v>3</v>
      </c>
      <c r="M14" t="n">
        <v>203200</v>
      </c>
      <c r="N14" t="n">
        <v>609600</v>
      </c>
      <c r="O14" t="n">
        <v>243840</v>
      </c>
      <c r="P14" t="inlineStr">
        <is>
          <t>2025-07-26</t>
        </is>
      </c>
      <c r="Q14" t="inlineStr">
        <is>
          <t>2027-01-17</t>
        </is>
      </c>
      <c r="R14" t="n">
        <v>13</v>
      </c>
      <c r="S14" t="inlineStr">
        <is>
          <t>Certification plan</t>
        </is>
      </c>
      <c r="T14" t="inlineStr">
        <is>
          <t>Tradeshow</t>
        </is>
      </c>
      <c r="U14" t="inlineStr"/>
      <c r="V14">
        <f>IF(S14="",1,0)</f>
        <v/>
      </c>
      <c r="W14">
        <f>IF(J14="",1,0)</f>
        <v/>
      </c>
      <c r="X14">
        <f>IF(F14="",1,0)</f>
        <v/>
      </c>
      <c r="Y14">
        <f>IF(AND(AND(H14&lt;&gt;"Mass production",H14&lt;&gt;"Lost"),DATEVALUE(Q14)&lt;DATE(2026,10,20)),1,0)</f>
        <v/>
      </c>
      <c r="Z14">
        <f>IF(AND(AND(H14&lt;&gt;"Mass production",H14&lt;&gt;"Lost"),R14&gt;30),1,0)</f>
        <v/>
      </c>
      <c r="AA14">
        <f>IF(COUNTIFS($G$2:$G$247,G14,$F$2:$F$247,F14,$J$2:$J$247,J14,$K$2:$K$247,K14)&gt;1,1,0)</f>
        <v/>
      </c>
      <c r="AB14">
        <f>SUM(V14:AA14)</f>
        <v/>
      </c>
    </row>
    <row r="15">
      <c r="A15" t="inlineStr">
        <is>
          <t>OPP-26013</t>
        </is>
      </c>
      <c r="B15" t="inlineStr">
        <is>
          <t>Lumen Connect</t>
        </is>
      </c>
      <c r="C15" t="inlineStr">
        <is>
          <t>DACH</t>
        </is>
      </c>
      <c r="D15" t="inlineStr">
        <is>
          <t>Austria</t>
        </is>
      </c>
      <c r="E15" t="inlineStr">
        <is>
          <t>J. Weber</t>
        </is>
      </c>
      <c r="F15" t="inlineStr"/>
      <c r="G15" t="inlineStr">
        <is>
          <t>5G RedCap</t>
        </is>
      </c>
      <c r="H15" t="inlineStr">
        <is>
          <t>Lead</t>
        </is>
      </c>
      <c r="I15" t="n">
        <v>0.05</v>
      </c>
      <c r="J15" t="n">
        <v>8000</v>
      </c>
      <c r="K15" t="n">
        <v>60.79</v>
      </c>
      <c r="L15" t="n">
        <v>2</v>
      </c>
      <c r="M15" t="n">
        <v>486320</v>
      </c>
      <c r="N15" t="n">
        <v>972640</v>
      </c>
      <c r="O15" t="n">
        <v>48632</v>
      </c>
      <c r="P15" t="inlineStr">
        <is>
          <t>2026-04-27</t>
        </is>
      </c>
      <c r="Q15" t="inlineStr">
        <is>
          <t>2027-01-10</t>
        </is>
      </c>
      <c r="R15" t="n">
        <v>2</v>
      </c>
      <c r="S15" t="inlineStr">
        <is>
          <t>Pilot build follow-up</t>
        </is>
      </c>
      <c r="T15" t="inlineStr">
        <is>
          <t>Tradeshow</t>
        </is>
      </c>
      <c r="U15" t="inlineStr"/>
      <c r="V15">
        <f>IF(S15="",1,0)</f>
        <v/>
      </c>
      <c r="W15">
        <f>IF(J15="",1,0)</f>
        <v/>
      </c>
      <c r="X15">
        <f>IF(F15="",1,0)</f>
        <v/>
      </c>
      <c r="Y15">
        <f>IF(AND(AND(H15&lt;&gt;"Mass production",H15&lt;&gt;"Lost"),DATEVALUE(Q15)&lt;DATE(2026,10,20)),1,0)</f>
        <v/>
      </c>
      <c r="Z15">
        <f>IF(AND(AND(H15&lt;&gt;"Mass production",H15&lt;&gt;"Lost"),R15&gt;30),1,0)</f>
        <v/>
      </c>
      <c r="AA15">
        <f>IF(COUNTIFS($G$2:$G$247,G15,$F$2:$F$247,F15,$J$2:$J$247,J15,$K$2:$K$247,K15)&gt;1,1,0)</f>
        <v/>
      </c>
      <c r="AB15">
        <f>SUM(V15:AA15)</f>
        <v/>
      </c>
    </row>
    <row r="16">
      <c r="A16" t="inlineStr">
        <is>
          <t>OPP-26014</t>
        </is>
      </c>
      <c r="B16" t="inlineStr">
        <is>
          <t>Baltix Telematics</t>
        </is>
      </c>
      <c r="C16" t="inlineStr">
        <is>
          <t>DACH</t>
        </is>
      </c>
      <c r="D16" t="inlineStr">
        <is>
          <t>Germany</t>
        </is>
      </c>
      <c r="E16" t="inlineStr">
        <is>
          <t>L. Hoffmann</t>
        </is>
      </c>
      <c r="F16" t="inlineStr">
        <is>
          <t>Smart home &amp; security</t>
        </is>
      </c>
      <c r="G16" t="inlineStr">
        <is>
          <t>Smart module</t>
        </is>
      </c>
      <c r="H16" t="inlineStr">
        <is>
          <t>Lost</t>
        </is>
      </c>
      <c r="I16" t="n">
        <v>0</v>
      </c>
      <c r="J16" t="inlineStr"/>
      <c r="K16" t="n">
        <v>50.73</v>
      </c>
      <c r="L16" t="n">
        <v>3</v>
      </c>
      <c r="M16" t="n">
        <v>0</v>
      </c>
      <c r="N16" t="n">
        <v>0</v>
      </c>
      <c r="O16" t="n">
        <v>0</v>
      </c>
      <c r="P16" t="inlineStr">
        <is>
          <t>2026-06-12</t>
        </is>
      </c>
      <c r="Q16" t="inlineStr">
        <is>
          <t>2026-10-19</t>
        </is>
      </c>
      <c r="R16" t="n">
        <v>24</v>
      </c>
      <c r="S16" t="inlineStr">
        <is>
          <t>Certification plan</t>
        </is>
      </c>
      <c r="T16" t="inlineStr">
        <is>
          <t>Direct</t>
        </is>
      </c>
      <c r="U16" t="inlineStr">
        <is>
          <t>Competitor module</t>
        </is>
      </c>
      <c r="V16">
        <f>IF(S16="",1,0)</f>
        <v/>
      </c>
      <c r="W16">
        <f>IF(J16="",1,0)</f>
        <v/>
      </c>
      <c r="X16">
        <f>IF(F16="",1,0)</f>
        <v/>
      </c>
      <c r="Y16">
        <f>IF(AND(AND(H16&lt;&gt;"Mass production",H16&lt;&gt;"Lost"),DATEVALUE(Q16)&lt;DATE(2026,10,20)),1,0)</f>
        <v/>
      </c>
      <c r="Z16">
        <f>IF(AND(AND(H16&lt;&gt;"Mass production",H16&lt;&gt;"Lost"),R16&gt;30),1,0)</f>
        <v/>
      </c>
      <c r="AA16">
        <f>IF(COUNTIFS($G$2:$G$247,G16,$F$2:$F$247,F16,$J$2:$J$247,J16,$K$2:$K$247,K16)&gt;1,1,0)</f>
        <v/>
      </c>
      <c r="AB16">
        <f>SUM(V16:AA16)</f>
        <v/>
      </c>
    </row>
    <row r="17">
      <c r="A17" t="inlineStr">
        <is>
          <t>OPP-26015</t>
        </is>
      </c>
      <c r="B17" t="inlineStr">
        <is>
          <t>Orbis Systems</t>
        </is>
      </c>
      <c r="C17" t="inlineStr">
        <is>
          <t>France &amp; Benelux</t>
        </is>
      </c>
      <c r="D17" t="inlineStr">
        <is>
          <t>Belgium</t>
        </is>
      </c>
      <c r="E17" t="inlineStr">
        <is>
          <t>B. de Vries</t>
        </is>
      </c>
      <c r="F17" t="inlineStr">
        <is>
          <t>Smart metering</t>
        </is>
      </c>
      <c r="G17" t="inlineStr">
        <is>
          <t>GNSS</t>
        </is>
      </c>
      <c r="H17" t="inlineStr">
        <is>
          <t>Mass production</t>
        </is>
      </c>
      <c r="I17" t="n">
        <v>1</v>
      </c>
      <c r="J17" t="inlineStr"/>
      <c r="K17" t="n">
        <v>7.93</v>
      </c>
      <c r="L17" t="n">
        <v>2</v>
      </c>
      <c r="M17" t="n">
        <v>0</v>
      </c>
      <c r="N17" t="n">
        <v>0</v>
      </c>
      <c r="O17" t="n">
        <v>0</v>
      </c>
      <c r="P17" t="inlineStr">
        <is>
          <t>2025-10-10</t>
        </is>
      </c>
      <c r="Q17" t="inlineStr">
        <is>
          <t>2026-10-06</t>
        </is>
      </c>
      <c r="R17" t="n">
        <v>10</v>
      </c>
      <c r="S17" t="inlineStr">
        <is>
          <t>Design review</t>
        </is>
      </c>
      <c r="T17" t="inlineStr">
        <is>
          <t>Website</t>
        </is>
      </c>
      <c r="U17" t="inlineStr"/>
      <c r="V17">
        <f>IF(S17="",1,0)</f>
        <v/>
      </c>
      <c r="W17">
        <f>IF(J17="",1,0)</f>
        <v/>
      </c>
      <c r="X17">
        <f>IF(F17="",1,0)</f>
        <v/>
      </c>
      <c r="Y17">
        <f>IF(AND(AND(H17&lt;&gt;"Mass production",H17&lt;&gt;"Lost"),DATEVALUE(Q17)&lt;DATE(2026,10,20)),1,0)</f>
        <v/>
      </c>
      <c r="Z17">
        <f>IF(AND(AND(H17&lt;&gt;"Mass production",H17&lt;&gt;"Lost"),R17&gt;30),1,0)</f>
        <v/>
      </c>
      <c r="AA17">
        <f>IF(COUNTIFS($G$2:$G$247,G17,$F$2:$F$247,F17,$J$2:$J$247,J17,$K$2:$K$247,K17)&gt;1,1,0)</f>
        <v/>
      </c>
      <c r="AB17">
        <f>SUM(V17:AA17)</f>
        <v/>
      </c>
    </row>
    <row r="18">
      <c r="A18" t="inlineStr">
        <is>
          <t>OPP-26016</t>
        </is>
      </c>
      <c r="B18" t="inlineStr">
        <is>
          <t>Helix Health</t>
        </is>
      </c>
      <c r="C18" t="inlineStr">
        <is>
          <t>Nordics</t>
        </is>
      </c>
      <c r="D18" t="inlineStr">
        <is>
          <t>Finland</t>
        </is>
      </c>
      <c r="E18" t="inlineStr">
        <is>
          <t>E. Lindqvist</t>
        </is>
      </c>
      <c r="F18" t="inlineStr">
        <is>
          <t>Telematics</t>
        </is>
      </c>
      <c r="G18" t="inlineStr">
        <is>
          <t>Wi-Fi / Bluetooth</t>
        </is>
      </c>
      <c r="H18" t="inlineStr">
        <is>
          <t>Design-win</t>
        </is>
      </c>
      <c r="I18" t="n">
        <v>0.7</v>
      </c>
      <c r="J18" t="n">
        <v>5000</v>
      </c>
      <c r="K18" t="n">
        <v>4.11</v>
      </c>
      <c r="L18" t="n">
        <v>4</v>
      </c>
      <c r="M18" t="n">
        <v>20550</v>
      </c>
      <c r="N18" t="n">
        <v>82200</v>
      </c>
      <c r="O18" t="n">
        <v>57540</v>
      </c>
      <c r="P18" t="inlineStr">
        <is>
          <t>2026-04-03</t>
        </is>
      </c>
      <c r="Q18" t="inlineStr">
        <is>
          <t>2027-06-04</t>
        </is>
      </c>
      <c r="R18" t="n">
        <v>23</v>
      </c>
      <c r="S18" t="inlineStr">
        <is>
          <t>Design review</t>
        </is>
      </c>
      <c r="T18" t="inlineStr">
        <is>
          <t>Website</t>
        </is>
      </c>
      <c r="U18" t="inlineStr"/>
      <c r="V18">
        <f>IF(S18="",1,0)</f>
        <v/>
      </c>
      <c r="W18">
        <f>IF(J18="",1,0)</f>
        <v/>
      </c>
      <c r="X18">
        <f>IF(F18="",1,0)</f>
        <v/>
      </c>
      <c r="Y18">
        <f>IF(AND(AND(H18&lt;&gt;"Mass production",H18&lt;&gt;"Lost"),DATEVALUE(Q18)&lt;DATE(2026,10,20)),1,0)</f>
        <v/>
      </c>
      <c r="Z18">
        <f>IF(AND(AND(H18&lt;&gt;"Mass production",H18&lt;&gt;"Lost"),R18&gt;30),1,0)</f>
        <v/>
      </c>
      <c r="AA18">
        <f>IF(COUNTIFS($G$2:$G$247,G18,$F$2:$F$247,F18,$J$2:$J$247,J18,$K$2:$K$247,K18)&gt;1,1,0)</f>
        <v/>
      </c>
      <c r="AB18">
        <f>SUM(V18:AA18)</f>
        <v/>
      </c>
    </row>
    <row r="19">
      <c r="A19" t="inlineStr">
        <is>
          <t>OPP-26017</t>
        </is>
      </c>
      <c r="B19" t="inlineStr">
        <is>
          <t>Arcturus Metering</t>
        </is>
      </c>
      <c r="C19" t="inlineStr">
        <is>
          <t>DACH</t>
        </is>
      </c>
      <c r="D19" t="inlineStr">
        <is>
          <t>Switzerland</t>
        </is>
      </c>
      <c r="E19" t="inlineStr">
        <is>
          <t>L. Hoffmann</t>
        </is>
      </c>
      <c r="F19" t="inlineStr">
        <is>
          <t>Asset tracking</t>
        </is>
      </c>
      <c r="G19" t="inlineStr">
        <is>
          <t>Wi-Fi / Bluetooth</t>
        </is>
      </c>
      <c r="H19" t="inlineStr">
        <is>
          <t>Mass production</t>
        </is>
      </c>
      <c r="I19" t="n">
        <v>1</v>
      </c>
      <c r="J19" t="n">
        <v>10000</v>
      </c>
      <c r="K19" t="n">
        <v>5.77</v>
      </c>
      <c r="L19" t="n">
        <v>4</v>
      </c>
      <c r="M19" t="n">
        <v>57700</v>
      </c>
      <c r="N19" t="n">
        <v>230800</v>
      </c>
      <c r="O19" t="n">
        <v>230800</v>
      </c>
      <c r="P19" t="inlineStr">
        <is>
          <t>2026-01-24</t>
        </is>
      </c>
      <c r="Q19" t="inlineStr">
        <is>
          <t>2026-10-01</t>
        </is>
      </c>
      <c r="R19" t="n">
        <v>9</v>
      </c>
      <c r="S19" t="inlineStr">
        <is>
          <t>Price negotiation</t>
        </is>
      </c>
      <c r="T19" t="inlineStr">
        <is>
          <t>Direct</t>
        </is>
      </c>
      <c r="U19" t="inlineStr"/>
      <c r="V19">
        <f>IF(S19="",1,0)</f>
        <v/>
      </c>
      <c r="W19">
        <f>IF(J19="",1,0)</f>
        <v/>
      </c>
      <c r="X19">
        <f>IF(F19="",1,0)</f>
        <v/>
      </c>
      <c r="Y19">
        <f>IF(AND(AND(H19&lt;&gt;"Mass production",H19&lt;&gt;"Lost"),DATEVALUE(Q19)&lt;DATE(2026,10,20)),1,0)</f>
        <v/>
      </c>
      <c r="Z19">
        <f>IF(AND(AND(H19&lt;&gt;"Mass production",H19&lt;&gt;"Lost"),R19&gt;30),1,0)</f>
        <v/>
      </c>
      <c r="AA19">
        <f>IF(COUNTIFS($G$2:$G$247,G19,$F$2:$F$247,F19,$J$2:$J$247,J19,$K$2:$K$247,K19)&gt;1,1,0)</f>
        <v/>
      </c>
      <c r="AB19">
        <f>SUM(V19:AA19)</f>
        <v/>
      </c>
    </row>
    <row r="20">
      <c r="A20" t="inlineStr">
        <is>
          <t>OPP-26018</t>
        </is>
      </c>
      <c r="B20" t="inlineStr">
        <is>
          <t>Rhenus Health</t>
        </is>
      </c>
      <c r="C20" t="inlineStr">
        <is>
          <t>Nordics</t>
        </is>
      </c>
      <c r="D20" t="inlineStr">
        <is>
          <t>Finland</t>
        </is>
      </c>
      <c r="E20" t="inlineStr">
        <is>
          <t>E. Lindqvist</t>
        </is>
      </c>
      <c r="F20" t="inlineStr">
        <is>
          <t>Industrial IoT</t>
        </is>
      </c>
      <c r="G20" t="inlineStr">
        <is>
          <t>GNSS</t>
        </is>
      </c>
      <c r="H20" t="inlineStr">
        <is>
          <t>Sample / Evaluation</t>
        </is>
      </c>
      <c r="I20" t="n">
        <v>0.2</v>
      </c>
      <c r="J20" t="n">
        <v>10000</v>
      </c>
      <c r="K20" t="n">
        <v>7.36</v>
      </c>
      <c r="L20" t="n">
        <v>5</v>
      </c>
      <c r="M20" t="n">
        <v>73600</v>
      </c>
      <c r="N20" t="n">
        <v>368000</v>
      </c>
      <c r="O20" t="n">
        <v>73600</v>
      </c>
      <c r="P20" t="inlineStr">
        <is>
          <t>2026-09-20</t>
        </is>
      </c>
      <c r="Q20" t="inlineStr">
        <is>
          <t>2027-06-01</t>
        </is>
      </c>
      <c r="R20" t="n">
        <v>17</v>
      </c>
      <c r="S20" t="inlineStr">
        <is>
          <t>Price negotiation</t>
        </is>
      </c>
      <c r="T20" t="inlineStr">
        <is>
          <t>Tradeshow</t>
        </is>
      </c>
      <c r="U20" t="inlineStr"/>
      <c r="V20">
        <f>IF(S20="",1,0)</f>
        <v/>
      </c>
      <c r="W20">
        <f>IF(J20="",1,0)</f>
        <v/>
      </c>
      <c r="X20">
        <f>IF(F20="",1,0)</f>
        <v/>
      </c>
      <c r="Y20">
        <f>IF(AND(AND(H20&lt;&gt;"Mass production",H20&lt;&gt;"Lost"),DATEVALUE(Q20)&lt;DATE(2026,10,20)),1,0)</f>
        <v/>
      </c>
      <c r="Z20">
        <f>IF(AND(AND(H20&lt;&gt;"Mass production",H20&lt;&gt;"Lost"),R20&gt;30),1,0)</f>
        <v/>
      </c>
      <c r="AA20">
        <f>IF(COUNTIFS($G$2:$G$247,G20,$F$2:$F$247,F20,$J$2:$J$247,J20,$K$2:$K$247,K20)&gt;1,1,0)</f>
        <v/>
      </c>
      <c r="AB20">
        <f>SUM(V20:AA20)</f>
        <v/>
      </c>
    </row>
    <row r="21">
      <c r="A21" t="inlineStr">
        <is>
          <t>OPP-26019</t>
        </is>
      </c>
      <c r="B21" t="inlineStr">
        <is>
          <t>Zenit Energy</t>
        </is>
      </c>
      <c r="C21" t="inlineStr">
        <is>
          <t>CEE</t>
        </is>
      </c>
      <c r="D21" t="inlineStr">
        <is>
          <t>Poland</t>
        </is>
      </c>
      <c r="E21" t="inlineStr">
        <is>
          <t>D. Jovanovic</t>
        </is>
      </c>
      <c r="F21" t="inlineStr">
        <is>
          <t>Healthcare</t>
        </is>
      </c>
      <c r="G21" t="inlineStr">
        <is>
          <t>5G eMBB</t>
        </is>
      </c>
      <c r="H21" t="inlineStr">
        <is>
          <t>Lead</t>
        </is>
      </c>
      <c r="I21" t="n">
        <v>0.05</v>
      </c>
      <c r="J21" t="n">
        <v>8000</v>
      </c>
      <c r="K21" t="n">
        <v>107.24</v>
      </c>
      <c r="L21" t="n">
        <v>3</v>
      </c>
      <c r="M21" t="n">
        <v>857920</v>
      </c>
      <c r="N21" t="n">
        <v>2573760</v>
      </c>
      <c r="O21" t="n">
        <v>128688</v>
      </c>
      <c r="P21" t="inlineStr">
        <is>
          <t>2025-02-12</t>
        </is>
      </c>
      <c r="Q21" t="inlineStr">
        <is>
          <t>2027-03-17</t>
        </is>
      </c>
      <c r="R21" t="n">
        <v>85</v>
      </c>
      <c r="S21" t="inlineStr">
        <is>
          <t>Price negotiation</t>
        </is>
      </c>
      <c r="T21" t="inlineStr">
        <is>
          <t>Direct</t>
        </is>
      </c>
      <c r="U21" t="inlineStr"/>
      <c r="V21">
        <f>IF(S21="",1,0)</f>
        <v/>
      </c>
      <c r="W21">
        <f>IF(J21="",1,0)</f>
        <v/>
      </c>
      <c r="X21">
        <f>IF(F21="",1,0)</f>
        <v/>
      </c>
      <c r="Y21">
        <f>IF(AND(AND(H21&lt;&gt;"Mass production",H21&lt;&gt;"Lost"),DATEVALUE(Q21)&lt;DATE(2026,10,20)),1,0)</f>
        <v/>
      </c>
      <c r="Z21">
        <f>IF(AND(AND(H21&lt;&gt;"Mass production",H21&lt;&gt;"Lost"),R21&gt;30),1,0)</f>
        <v/>
      </c>
      <c r="AA21">
        <f>IF(COUNTIFS($G$2:$G$247,G21,$F$2:$F$247,F21,$J$2:$J$247,J21,$K$2:$K$247,K21)&gt;1,1,0)</f>
        <v/>
      </c>
      <c r="AB21">
        <f>SUM(V21:AA21)</f>
        <v/>
      </c>
    </row>
    <row r="22">
      <c r="A22" t="inlineStr">
        <is>
          <t>OPP-26020</t>
        </is>
      </c>
      <c r="B22" t="inlineStr">
        <is>
          <t>Arcturus Telematics</t>
        </is>
      </c>
      <c r="C22" t="inlineStr">
        <is>
          <t>UK &amp; Ireland</t>
        </is>
      </c>
      <c r="D22" t="inlineStr">
        <is>
          <t>Ireland</t>
        </is>
      </c>
      <c r="E22" t="inlineStr">
        <is>
          <t>R. Patel</t>
        </is>
      </c>
      <c r="F22" t="inlineStr">
        <is>
          <t>Automotive &amp; C-V2X</t>
        </is>
      </c>
      <c r="G22" t="inlineStr">
        <is>
          <t>LTE Cat 1 bis</t>
        </is>
      </c>
      <c r="H22" t="inlineStr">
        <is>
          <t>Pilot</t>
        </is>
      </c>
      <c r="I22" t="n">
        <v>0.85</v>
      </c>
      <c r="J22" t="n">
        <v>50000</v>
      </c>
      <c r="K22" t="n">
        <v>7.92</v>
      </c>
      <c r="L22" t="n">
        <v>3</v>
      </c>
      <c r="M22" t="n">
        <v>396000</v>
      </c>
      <c r="N22" t="n">
        <v>1188000</v>
      </c>
      <c r="O22" t="n">
        <v>1009800</v>
      </c>
      <c r="P22" t="inlineStr">
        <is>
          <t>2026-03-18</t>
        </is>
      </c>
      <c r="Q22" t="inlineStr">
        <is>
          <t>2026-12-29</t>
        </is>
      </c>
      <c r="R22" t="n">
        <v>30</v>
      </c>
      <c r="S22" t="inlineStr">
        <is>
          <t>Certification plan</t>
        </is>
      </c>
      <c r="T22" t="inlineStr">
        <is>
          <t>Direct</t>
        </is>
      </c>
      <c r="U22" t="inlineStr"/>
      <c r="V22">
        <f>IF(S22="",1,0)</f>
        <v/>
      </c>
      <c r="W22">
        <f>IF(J22="",1,0)</f>
        <v/>
      </c>
      <c r="X22">
        <f>IF(F22="",1,0)</f>
        <v/>
      </c>
      <c r="Y22">
        <f>IF(AND(AND(H22&lt;&gt;"Mass production",H22&lt;&gt;"Lost"),DATEVALUE(Q22)&lt;DATE(2026,10,20)),1,0)</f>
        <v/>
      </c>
      <c r="Z22">
        <f>IF(AND(AND(H22&lt;&gt;"Mass production",H22&lt;&gt;"Lost"),R22&gt;30),1,0)</f>
        <v/>
      </c>
      <c r="AA22">
        <f>IF(COUNTIFS($G$2:$G$247,G22,$F$2:$F$247,F22,$J$2:$J$247,J22,$K$2:$K$247,K22)&gt;1,1,0)</f>
        <v/>
      </c>
      <c r="AB22">
        <f>SUM(V22:AA22)</f>
        <v/>
      </c>
    </row>
    <row r="23">
      <c r="A23" t="inlineStr">
        <is>
          <t>OPP-26021</t>
        </is>
      </c>
      <c r="B23" t="inlineStr">
        <is>
          <t>Orbis Systems</t>
        </is>
      </c>
      <c r="C23" t="inlineStr">
        <is>
          <t>France &amp; Benelux</t>
        </is>
      </c>
      <c r="D23" t="inlineStr">
        <is>
          <t>Belgium</t>
        </is>
      </c>
      <c r="E23" t="inlineStr">
        <is>
          <t>B. de Vries</t>
        </is>
      </c>
      <c r="F23" t="inlineStr">
        <is>
          <t>Automotive &amp; C-V2X</t>
        </is>
      </c>
      <c r="G23" t="inlineStr">
        <is>
          <t>GNSS</t>
        </is>
      </c>
      <c r="H23" t="inlineStr">
        <is>
          <t>Lead</t>
        </is>
      </c>
      <c r="I23" t="n">
        <v>0.05</v>
      </c>
      <c r="J23" t="n">
        <v>2000</v>
      </c>
      <c r="K23" t="n">
        <v>4.2</v>
      </c>
      <c r="L23" t="n">
        <v>2</v>
      </c>
      <c r="M23" t="n">
        <v>8400</v>
      </c>
      <c r="N23" t="n">
        <v>16800</v>
      </c>
      <c r="O23" t="n">
        <v>840</v>
      </c>
      <c r="P23" t="inlineStr">
        <is>
          <t>2025-03-13</t>
        </is>
      </c>
      <c r="Q23" t="inlineStr">
        <is>
          <t>2027-02-06</t>
        </is>
      </c>
      <c r="R23" t="n">
        <v>112</v>
      </c>
      <c r="S23" t="inlineStr">
        <is>
          <t>Send samples</t>
        </is>
      </c>
      <c r="T23" t="inlineStr">
        <is>
          <t>Distributor</t>
        </is>
      </c>
      <c r="U23" t="inlineStr"/>
      <c r="V23">
        <f>IF(S23="",1,0)</f>
        <v/>
      </c>
      <c r="W23">
        <f>IF(J23="",1,0)</f>
        <v/>
      </c>
      <c r="X23">
        <f>IF(F23="",1,0)</f>
        <v/>
      </c>
      <c r="Y23">
        <f>IF(AND(AND(H23&lt;&gt;"Mass production",H23&lt;&gt;"Lost"),DATEVALUE(Q23)&lt;DATE(2026,10,20)),1,0)</f>
        <v/>
      </c>
      <c r="Z23">
        <f>IF(AND(AND(H23&lt;&gt;"Mass production",H23&lt;&gt;"Lost"),R23&gt;30),1,0)</f>
        <v/>
      </c>
      <c r="AA23">
        <f>IF(COUNTIFS($G$2:$G$247,G23,$F$2:$F$247,F23,$J$2:$J$247,J23,$K$2:$K$247,K23)&gt;1,1,0)</f>
        <v/>
      </c>
      <c r="AB23">
        <f>SUM(V23:AA23)</f>
        <v/>
      </c>
    </row>
    <row r="24">
      <c r="A24" t="inlineStr">
        <is>
          <t>OPP-26022</t>
        </is>
      </c>
      <c r="B24" t="inlineStr">
        <is>
          <t>Pannon Energy</t>
        </is>
      </c>
      <c r="C24" t="inlineStr">
        <is>
          <t>DACH</t>
        </is>
      </c>
      <c r="D24" t="inlineStr">
        <is>
          <t>Switzerland</t>
        </is>
      </c>
      <c r="E24" t="inlineStr">
        <is>
          <t>J. Weber</t>
        </is>
      </c>
      <c r="F24" t="inlineStr">
        <is>
          <t>Asset tracking</t>
        </is>
      </c>
      <c r="G24" t="inlineStr">
        <is>
          <t>5G RedCap</t>
        </is>
      </c>
      <c r="H24" t="inlineStr">
        <is>
          <t>Sample / Evaluation</t>
        </is>
      </c>
      <c r="I24" t="n">
        <v>0.2</v>
      </c>
      <c r="J24" t="n">
        <v>30000</v>
      </c>
      <c r="K24" t="n">
        <v>44.06</v>
      </c>
      <c r="L24" t="n">
        <v>2</v>
      </c>
      <c r="M24" t="n">
        <v>1321800</v>
      </c>
      <c r="N24" t="n">
        <v>2643600</v>
      </c>
      <c r="O24" t="n">
        <v>528720</v>
      </c>
      <c r="P24" t="inlineStr">
        <is>
          <t>2026-07-26</t>
        </is>
      </c>
      <c r="Q24" t="inlineStr">
        <is>
          <t>2027-04-03</t>
        </is>
      </c>
      <c r="R24" t="n">
        <v>17</v>
      </c>
      <c r="S24" t="inlineStr">
        <is>
          <t>Quote revision</t>
        </is>
      </c>
      <c r="T24" t="inlineStr">
        <is>
          <t>Website</t>
        </is>
      </c>
      <c r="U24" t="inlineStr"/>
      <c r="V24">
        <f>IF(S24="",1,0)</f>
        <v/>
      </c>
      <c r="W24">
        <f>IF(J24="",1,0)</f>
        <v/>
      </c>
      <c r="X24">
        <f>IF(F24="",1,0)</f>
        <v/>
      </c>
      <c r="Y24">
        <f>IF(AND(AND(H24&lt;&gt;"Mass production",H24&lt;&gt;"Lost"),DATEVALUE(Q24)&lt;DATE(2026,10,20)),1,0)</f>
        <v/>
      </c>
      <c r="Z24">
        <f>IF(AND(AND(H24&lt;&gt;"Mass production",H24&lt;&gt;"Lost"),R24&gt;30),1,0)</f>
        <v/>
      </c>
      <c r="AA24">
        <f>IF(COUNTIFS($G$2:$G$247,G24,$F$2:$F$247,F24,$J$2:$J$247,J24,$K$2:$K$247,K24)&gt;1,1,0)</f>
        <v/>
      </c>
      <c r="AB24">
        <f>SUM(V24:AA24)</f>
        <v/>
      </c>
    </row>
    <row r="25">
      <c r="A25" t="inlineStr">
        <is>
          <t>OPP-26023</t>
        </is>
      </c>
      <c r="B25" t="inlineStr">
        <is>
          <t>Orbis Connect</t>
        </is>
      </c>
      <c r="C25" t="inlineStr">
        <is>
          <t>UK &amp; Ireland</t>
        </is>
      </c>
      <c r="D25" t="inlineStr">
        <is>
          <t>United Kingdom</t>
        </is>
      </c>
      <c r="E25" t="inlineStr">
        <is>
          <t>R. Patel</t>
        </is>
      </c>
      <c r="F25" t="inlineStr">
        <is>
          <t>Smart home &amp; security</t>
        </is>
      </c>
      <c r="G25" t="inlineStr">
        <is>
          <t>5G RedCap</t>
        </is>
      </c>
      <c r="H25" t="inlineStr">
        <is>
          <t>Lost</t>
        </is>
      </c>
      <c r="I25" t="n">
        <v>0</v>
      </c>
      <c r="J25" t="n">
        <v>20000</v>
      </c>
      <c r="K25" t="n">
        <v>51.39</v>
      </c>
      <c r="L25" t="n">
        <v>5</v>
      </c>
      <c r="M25" t="n">
        <v>1027800</v>
      </c>
      <c r="N25" t="n">
        <v>5139000</v>
      </c>
      <c r="O25" t="n">
        <v>0</v>
      </c>
      <c r="P25" t="inlineStr">
        <is>
          <t>2025-01-28</t>
        </is>
      </c>
      <c r="Q25" t="inlineStr">
        <is>
          <t>2025-09-20</t>
        </is>
      </c>
      <c r="R25" t="n">
        <v>88</v>
      </c>
      <c r="S25" t="inlineStr">
        <is>
          <t>Pilot build follow-up</t>
        </is>
      </c>
      <c r="T25" t="inlineStr">
        <is>
          <t>Distributor</t>
        </is>
      </c>
      <c r="U25" t="inlineStr">
        <is>
          <t>Price</t>
        </is>
      </c>
      <c r="V25">
        <f>IF(S25="",1,0)</f>
        <v/>
      </c>
      <c r="W25">
        <f>IF(J25="",1,0)</f>
        <v/>
      </c>
      <c r="X25">
        <f>IF(F25="",1,0)</f>
        <v/>
      </c>
      <c r="Y25">
        <f>IF(AND(AND(H25&lt;&gt;"Mass production",H25&lt;&gt;"Lost"),DATEVALUE(Q25)&lt;DATE(2026,10,20)),1,0)</f>
        <v/>
      </c>
      <c r="Z25">
        <f>IF(AND(AND(H25&lt;&gt;"Mass production",H25&lt;&gt;"Lost"),R25&gt;30),1,0)</f>
        <v/>
      </c>
      <c r="AA25">
        <f>IF(COUNTIFS($G$2:$G$247,G25,$F$2:$F$247,F25,$J$2:$J$247,J25,$K$2:$K$247,K25)&gt;1,1,0)</f>
        <v/>
      </c>
      <c r="AB25">
        <f>SUM(V25:AA25)</f>
        <v/>
      </c>
    </row>
    <row r="26">
      <c r="A26" t="inlineStr">
        <is>
          <t>OPP-26024</t>
        </is>
      </c>
      <c r="B26" t="inlineStr">
        <is>
          <t>Ferro Systems</t>
        </is>
      </c>
      <c r="C26" t="inlineStr">
        <is>
          <t>CEE</t>
        </is>
      </c>
      <c r="D26" t="inlineStr">
        <is>
          <t>Poland</t>
        </is>
      </c>
      <c r="E26" t="inlineStr">
        <is>
          <t>K. Nowak</t>
        </is>
      </c>
      <c r="F26" t="inlineStr">
        <is>
          <t>Smart home &amp; security</t>
        </is>
      </c>
      <c r="G26" t="inlineStr">
        <is>
          <t>Wi-Fi / Bluetooth</t>
        </is>
      </c>
      <c r="H26" t="inlineStr">
        <is>
          <t>Lead</t>
        </is>
      </c>
      <c r="I26" t="n">
        <v>0.05</v>
      </c>
      <c r="J26" t="n">
        <v>8000</v>
      </c>
      <c r="K26" t="n">
        <v>3.23</v>
      </c>
      <c r="L26" t="n">
        <v>3</v>
      </c>
      <c r="M26" t="n">
        <v>25840</v>
      </c>
      <c r="N26" t="n">
        <v>77520</v>
      </c>
      <c r="O26" t="n">
        <v>3876</v>
      </c>
      <c r="P26" t="inlineStr">
        <is>
          <t>2026-07-09</t>
        </is>
      </c>
      <c r="Q26" t="inlineStr">
        <is>
          <t>2026-11-29</t>
        </is>
      </c>
      <c r="R26" t="n">
        <v>3</v>
      </c>
      <c r="S26" t="inlineStr">
        <is>
          <t>Price negotiation</t>
        </is>
      </c>
      <c r="T26" t="inlineStr">
        <is>
          <t>Tradeshow</t>
        </is>
      </c>
      <c r="U26" t="inlineStr"/>
      <c r="V26">
        <f>IF(S26="",1,0)</f>
        <v/>
      </c>
      <c r="W26">
        <f>IF(J26="",1,0)</f>
        <v/>
      </c>
      <c r="X26">
        <f>IF(F26="",1,0)</f>
        <v/>
      </c>
      <c r="Y26">
        <f>IF(AND(AND(H26&lt;&gt;"Mass production",H26&lt;&gt;"Lost"),DATEVALUE(Q26)&lt;DATE(2026,10,20)),1,0)</f>
        <v/>
      </c>
      <c r="Z26">
        <f>IF(AND(AND(H26&lt;&gt;"Mass production",H26&lt;&gt;"Lost"),R26&gt;30),1,0)</f>
        <v/>
      </c>
      <c r="AA26">
        <f>IF(COUNTIFS($G$2:$G$247,G26,$F$2:$F$247,F26,$J$2:$J$247,J26,$K$2:$K$247,K26)&gt;1,1,0)</f>
        <v/>
      </c>
      <c r="AB26">
        <f>SUM(V26:AA26)</f>
        <v/>
      </c>
    </row>
    <row r="27">
      <c r="A27" t="inlineStr">
        <is>
          <t>OPP-26025</t>
        </is>
      </c>
      <c r="B27" t="inlineStr">
        <is>
          <t>Helix Devices</t>
        </is>
      </c>
      <c r="C27" t="inlineStr">
        <is>
          <t>France &amp; Benelux</t>
        </is>
      </c>
      <c r="D27" t="inlineStr">
        <is>
          <t>France</t>
        </is>
      </c>
      <c r="E27" t="inlineStr">
        <is>
          <t>C. Martin</t>
        </is>
      </c>
      <c r="F27" t="inlineStr">
        <is>
          <t>Asset tracking</t>
        </is>
      </c>
      <c r="G27" t="inlineStr">
        <is>
          <t>Smart module</t>
        </is>
      </c>
      <c r="H27" t="inlineStr">
        <is>
          <t>Qualified</t>
        </is>
      </c>
      <c r="I27" t="n">
        <v>0.1</v>
      </c>
      <c r="J27" t="inlineStr"/>
      <c r="K27" t="n">
        <v>59.14</v>
      </c>
      <c r="L27" t="n">
        <v>2</v>
      </c>
      <c r="M27" t="n">
        <v>0</v>
      </c>
      <c r="N27" t="n">
        <v>0</v>
      </c>
      <c r="O27" t="n">
        <v>0</v>
      </c>
      <c r="P27" t="inlineStr">
        <is>
          <t>2026-02-03</t>
        </is>
      </c>
      <c r="Q27" t="inlineStr">
        <is>
          <t>2027-01-23</t>
        </is>
      </c>
      <c r="R27" t="n">
        <v>12</v>
      </c>
      <c r="S27" t="inlineStr">
        <is>
          <t>Pilot build follow-up</t>
        </is>
      </c>
      <c r="T27" t="inlineStr">
        <is>
          <t>Website</t>
        </is>
      </c>
      <c r="U27" t="inlineStr"/>
      <c r="V27">
        <f>IF(S27="",1,0)</f>
        <v/>
      </c>
      <c r="W27">
        <f>IF(J27="",1,0)</f>
        <v/>
      </c>
      <c r="X27">
        <f>IF(F27="",1,0)</f>
        <v/>
      </c>
      <c r="Y27">
        <f>IF(AND(AND(H27&lt;&gt;"Mass production",H27&lt;&gt;"Lost"),DATEVALUE(Q27)&lt;DATE(2026,10,20)),1,0)</f>
        <v/>
      </c>
      <c r="Z27">
        <f>IF(AND(AND(H27&lt;&gt;"Mass production",H27&lt;&gt;"Lost"),R27&gt;30),1,0)</f>
        <v/>
      </c>
      <c r="AA27">
        <f>IF(COUNTIFS($G$2:$G$247,G27,$F$2:$F$247,F27,$J$2:$J$247,J27,$K$2:$K$247,K27)&gt;1,1,0)</f>
        <v/>
      </c>
      <c r="AB27">
        <f>SUM(V27:AA27)</f>
        <v/>
      </c>
    </row>
    <row r="28">
      <c r="A28" t="inlineStr">
        <is>
          <t>OPP-26026</t>
        </is>
      </c>
      <c r="B28" t="inlineStr">
        <is>
          <t>Vector Metering</t>
        </is>
      </c>
      <c r="C28" t="inlineStr">
        <is>
          <t>DACH</t>
        </is>
      </c>
      <c r="D28" t="inlineStr">
        <is>
          <t>Germany</t>
        </is>
      </c>
      <c r="E28" t="inlineStr">
        <is>
          <t>L. Hoffmann</t>
        </is>
      </c>
      <c r="F28" t="inlineStr">
        <is>
          <t>Telematics</t>
        </is>
      </c>
      <c r="G28" t="inlineStr">
        <is>
          <t>GNSS</t>
        </is>
      </c>
      <c r="H28" t="inlineStr">
        <is>
          <t>Mass production</t>
        </is>
      </c>
      <c r="I28" t="n">
        <v>1</v>
      </c>
      <c r="J28" t="n">
        <v>80000</v>
      </c>
      <c r="K28" t="n">
        <v>7.62</v>
      </c>
      <c r="L28" t="n">
        <v>3</v>
      </c>
      <c r="M28" t="n">
        <v>609600</v>
      </c>
      <c r="N28" t="n">
        <v>1828800</v>
      </c>
      <c r="O28" t="n">
        <v>1828800</v>
      </c>
      <c r="P28" t="inlineStr">
        <is>
          <t>2025-07-08</t>
        </is>
      </c>
      <c r="Q28" t="inlineStr">
        <is>
          <t>2026-01-07</t>
        </is>
      </c>
      <c r="R28" t="n">
        <v>11</v>
      </c>
      <c r="S28" t="inlineStr"/>
      <c r="T28" t="inlineStr">
        <is>
          <t>Direct</t>
        </is>
      </c>
      <c r="U28" t="inlineStr"/>
      <c r="V28">
        <f>IF(S28="",1,0)</f>
        <v/>
      </c>
      <c r="W28">
        <f>IF(J28="",1,0)</f>
        <v/>
      </c>
      <c r="X28">
        <f>IF(F28="",1,0)</f>
        <v/>
      </c>
      <c r="Y28">
        <f>IF(AND(AND(H28&lt;&gt;"Mass production",H28&lt;&gt;"Lost"),DATEVALUE(Q28)&lt;DATE(2026,10,20)),1,0)</f>
        <v/>
      </c>
      <c r="Z28">
        <f>IF(AND(AND(H28&lt;&gt;"Mass production",H28&lt;&gt;"Lost"),R28&gt;30),1,0)</f>
        <v/>
      </c>
      <c r="AA28">
        <f>IF(COUNTIFS($G$2:$G$247,G28,$F$2:$F$247,F28,$J$2:$J$247,J28,$K$2:$K$247,K28)&gt;1,1,0)</f>
        <v/>
      </c>
      <c r="AB28">
        <f>SUM(V28:AA28)</f>
        <v/>
      </c>
    </row>
    <row r="29">
      <c r="A29" t="inlineStr">
        <is>
          <t>OPP-26027</t>
        </is>
      </c>
      <c r="B29" t="inlineStr">
        <is>
          <t>Zenit Labs</t>
        </is>
      </c>
      <c r="C29" t="inlineStr">
        <is>
          <t>UK &amp; Ireland</t>
        </is>
      </c>
      <c r="D29" t="inlineStr">
        <is>
          <t>Ireland</t>
        </is>
      </c>
      <c r="E29" t="inlineStr">
        <is>
          <t>S. Clarke</t>
        </is>
      </c>
      <c r="F29" t="inlineStr"/>
      <c r="G29" t="inlineStr">
        <is>
          <t>GNSS</t>
        </is>
      </c>
      <c r="H29" t="inlineStr">
        <is>
          <t>Pilot</t>
        </is>
      </c>
      <c r="I29" t="n">
        <v>0.85</v>
      </c>
      <c r="J29" t="n">
        <v>3000</v>
      </c>
      <c r="K29" t="n">
        <v>4.88</v>
      </c>
      <c r="L29" t="n">
        <v>3</v>
      </c>
      <c r="M29" t="n">
        <v>14640</v>
      </c>
      <c r="N29" t="n">
        <v>43920</v>
      </c>
      <c r="O29" t="n">
        <v>37332</v>
      </c>
      <c r="P29" t="inlineStr">
        <is>
          <t>2025-02-18</t>
        </is>
      </c>
      <c r="Q29" t="inlineStr">
        <is>
          <t>2026-09-20</t>
        </is>
      </c>
      <c r="R29" t="n">
        <v>12</v>
      </c>
      <c r="S29" t="inlineStr">
        <is>
          <t>Price negotiation</t>
        </is>
      </c>
      <c r="T29" t="inlineStr">
        <is>
          <t>FAE referral</t>
        </is>
      </c>
      <c r="U29" t="inlineStr"/>
      <c r="V29">
        <f>IF(S29="",1,0)</f>
        <v/>
      </c>
      <c r="W29">
        <f>IF(J29="",1,0)</f>
        <v/>
      </c>
      <c r="X29">
        <f>IF(F29="",1,0)</f>
        <v/>
      </c>
      <c r="Y29">
        <f>IF(AND(AND(H29&lt;&gt;"Mass production",H29&lt;&gt;"Lost"),DATEVALUE(Q29)&lt;DATE(2026,10,20)),1,0)</f>
        <v/>
      </c>
      <c r="Z29">
        <f>IF(AND(AND(H29&lt;&gt;"Mass production",H29&lt;&gt;"Lost"),R29&gt;30),1,0)</f>
        <v/>
      </c>
      <c r="AA29">
        <f>IF(COUNTIFS($G$2:$G$247,G29,$F$2:$F$247,F29,$J$2:$J$247,J29,$K$2:$K$247,K29)&gt;1,1,0)</f>
        <v/>
      </c>
      <c r="AB29">
        <f>SUM(V29:AA29)</f>
        <v/>
      </c>
    </row>
    <row r="30">
      <c r="A30" t="inlineStr">
        <is>
          <t>OPP-26028</t>
        </is>
      </c>
      <c r="B30" t="inlineStr">
        <is>
          <t>Vector Devices</t>
        </is>
      </c>
      <c r="C30" t="inlineStr">
        <is>
          <t>UK &amp; Ireland</t>
        </is>
      </c>
      <c r="D30" t="inlineStr">
        <is>
          <t>United Kingdom</t>
        </is>
      </c>
      <c r="E30" t="inlineStr">
        <is>
          <t>S. Clarke</t>
        </is>
      </c>
      <c r="F30" t="inlineStr">
        <is>
          <t>Healthcare</t>
        </is>
      </c>
      <c r="G30" t="inlineStr">
        <is>
          <t>Wi-Fi / Bluetooth</t>
        </is>
      </c>
      <c r="H30" t="inlineStr">
        <is>
          <t>Design-in</t>
        </is>
      </c>
      <c r="I30" t="n">
        <v>0.4</v>
      </c>
      <c r="J30" t="n">
        <v>3000</v>
      </c>
      <c r="K30" t="n">
        <v>4.22</v>
      </c>
      <c r="L30" t="n">
        <v>4</v>
      </c>
      <c r="M30" t="n">
        <v>12660</v>
      </c>
      <c r="N30" t="n">
        <v>50640</v>
      </c>
      <c r="O30" t="n">
        <v>20256</v>
      </c>
      <c r="P30" t="inlineStr">
        <is>
          <t>2025-10-09</t>
        </is>
      </c>
      <c r="Q30" t="inlineStr">
        <is>
          <t>2027-04-07</t>
        </is>
      </c>
      <c r="R30" t="n">
        <v>5</v>
      </c>
      <c r="S30" t="inlineStr">
        <is>
          <t>Design review</t>
        </is>
      </c>
      <c r="T30" t="inlineStr">
        <is>
          <t>Tradeshow</t>
        </is>
      </c>
      <c r="U30" t="inlineStr"/>
      <c r="V30">
        <f>IF(S30="",1,0)</f>
        <v/>
      </c>
      <c r="W30">
        <f>IF(J30="",1,0)</f>
        <v/>
      </c>
      <c r="X30">
        <f>IF(F30="",1,0)</f>
        <v/>
      </c>
      <c r="Y30">
        <f>IF(AND(AND(H30&lt;&gt;"Mass production",H30&lt;&gt;"Lost"),DATEVALUE(Q30)&lt;DATE(2026,10,20)),1,0)</f>
        <v/>
      </c>
      <c r="Z30">
        <f>IF(AND(AND(H30&lt;&gt;"Mass production",H30&lt;&gt;"Lost"),R30&gt;30),1,0)</f>
        <v/>
      </c>
      <c r="AA30">
        <f>IF(COUNTIFS($G$2:$G$247,G30,$F$2:$F$247,F30,$J$2:$J$247,J30,$K$2:$K$247,K30)&gt;1,1,0)</f>
        <v/>
      </c>
      <c r="AB30">
        <f>SUM(V30:AA30)</f>
        <v/>
      </c>
    </row>
    <row r="31">
      <c r="A31" t="inlineStr">
        <is>
          <t>OPP-26029</t>
        </is>
      </c>
      <c r="B31" t="inlineStr">
        <is>
          <t>Alpenlink Electronics</t>
        </is>
      </c>
      <c r="C31" t="inlineStr">
        <is>
          <t>DACH</t>
        </is>
      </c>
      <c r="D31" t="inlineStr">
        <is>
          <t>Germany</t>
        </is>
      </c>
      <c r="E31" t="inlineStr">
        <is>
          <t>J. Weber</t>
        </is>
      </c>
      <c r="F31" t="inlineStr">
        <is>
          <t>Telematics</t>
        </is>
      </c>
      <c r="G31" t="inlineStr">
        <is>
          <t>GNSS</t>
        </is>
      </c>
      <c r="H31" t="inlineStr">
        <is>
          <t>Mass production</t>
        </is>
      </c>
      <c r="I31" t="n">
        <v>1</v>
      </c>
      <c r="J31" t="n">
        <v>3000</v>
      </c>
      <c r="K31" t="n">
        <v>3.7</v>
      </c>
      <c r="L31" t="n">
        <v>3</v>
      </c>
      <c r="M31" t="n">
        <v>11100</v>
      </c>
      <c r="N31" t="n">
        <v>33300</v>
      </c>
      <c r="O31" t="n">
        <v>33300</v>
      </c>
      <c r="P31" t="inlineStr">
        <is>
          <t>2026-01-15</t>
        </is>
      </c>
      <c r="Q31" t="inlineStr">
        <is>
          <t>2026-10-16</t>
        </is>
      </c>
      <c r="R31" t="n">
        <v>96</v>
      </c>
      <c r="S31" t="inlineStr">
        <is>
          <t>Design review</t>
        </is>
      </c>
      <c r="T31" t="inlineStr">
        <is>
          <t>Direct</t>
        </is>
      </c>
      <c r="U31" t="inlineStr"/>
      <c r="V31">
        <f>IF(S31="",1,0)</f>
        <v/>
      </c>
      <c r="W31">
        <f>IF(J31="",1,0)</f>
        <v/>
      </c>
      <c r="X31">
        <f>IF(F31="",1,0)</f>
        <v/>
      </c>
      <c r="Y31">
        <f>IF(AND(AND(H31&lt;&gt;"Mass production",H31&lt;&gt;"Lost"),DATEVALUE(Q31)&lt;DATE(2026,10,20)),1,0)</f>
        <v/>
      </c>
      <c r="Z31">
        <f>IF(AND(AND(H31&lt;&gt;"Mass production",H31&lt;&gt;"Lost"),R31&gt;30),1,0)</f>
        <v/>
      </c>
      <c r="AA31">
        <f>IF(COUNTIFS($G$2:$G$247,G31,$F$2:$F$247,F31,$J$2:$J$247,J31,$K$2:$K$247,K31)&gt;1,1,0)</f>
        <v/>
      </c>
      <c r="AB31">
        <f>SUM(V31:AA31)</f>
        <v/>
      </c>
    </row>
    <row r="32">
      <c r="A32" t="inlineStr">
        <is>
          <t>OPP-26030</t>
        </is>
      </c>
      <c r="B32" t="inlineStr">
        <is>
          <t>Bluecell Devices</t>
        </is>
      </c>
      <c r="C32" t="inlineStr">
        <is>
          <t>UK &amp; Ireland</t>
        </is>
      </c>
      <c r="D32" t="inlineStr">
        <is>
          <t>United Kingdom</t>
        </is>
      </c>
      <c r="E32" t="inlineStr">
        <is>
          <t>R. Patel</t>
        </is>
      </c>
      <c r="F32" t="inlineStr">
        <is>
          <t>Automotive &amp; C-V2X</t>
        </is>
      </c>
      <c r="G32" t="inlineStr">
        <is>
          <t>Smart module</t>
        </is>
      </c>
      <c r="H32" t="inlineStr">
        <is>
          <t>Pilot</t>
        </is>
      </c>
      <c r="I32" t="n">
        <v>0.85</v>
      </c>
      <c r="J32" t="n">
        <v>2000</v>
      </c>
      <c r="K32" t="n">
        <v>67.09999999999999</v>
      </c>
      <c r="L32" t="n">
        <v>3</v>
      </c>
      <c r="M32" t="n">
        <v>134200</v>
      </c>
      <c r="N32" t="n">
        <v>402600</v>
      </c>
      <c r="O32" t="n">
        <v>342210</v>
      </c>
      <c r="P32" t="inlineStr">
        <is>
          <t>2025-12-31</t>
        </is>
      </c>
      <c r="Q32" t="inlineStr">
        <is>
          <t>2026-11-16</t>
        </is>
      </c>
      <c r="R32" t="n">
        <v>87</v>
      </c>
      <c r="S32" t="inlineStr">
        <is>
          <t>Send samples</t>
        </is>
      </c>
      <c r="T32" t="inlineStr">
        <is>
          <t>FAE referral</t>
        </is>
      </c>
      <c r="U32" t="inlineStr"/>
      <c r="V32">
        <f>IF(S32="",1,0)</f>
        <v/>
      </c>
      <c r="W32">
        <f>IF(J32="",1,0)</f>
        <v/>
      </c>
      <c r="X32">
        <f>IF(F32="",1,0)</f>
        <v/>
      </c>
      <c r="Y32">
        <f>IF(AND(AND(H32&lt;&gt;"Mass production",H32&lt;&gt;"Lost"),DATEVALUE(Q32)&lt;DATE(2026,10,20)),1,0)</f>
        <v/>
      </c>
      <c r="Z32">
        <f>IF(AND(AND(H32&lt;&gt;"Mass production",H32&lt;&gt;"Lost"),R32&gt;30),1,0)</f>
        <v/>
      </c>
      <c r="AA32">
        <f>IF(COUNTIFS($G$2:$G$247,G32,$F$2:$F$247,F32,$J$2:$J$247,J32,$K$2:$K$247,K32)&gt;1,1,0)</f>
        <v/>
      </c>
      <c r="AB32">
        <f>SUM(V32:AA32)</f>
        <v/>
      </c>
    </row>
    <row r="33">
      <c r="A33" t="inlineStr">
        <is>
          <t>OPP-26031</t>
        </is>
      </c>
      <c r="B33" t="inlineStr">
        <is>
          <t>Corvid Connect</t>
        </is>
      </c>
      <c r="C33" t="inlineStr">
        <is>
          <t>DACH</t>
        </is>
      </c>
      <c r="D33" t="inlineStr">
        <is>
          <t>Austria</t>
        </is>
      </c>
      <c r="E33" t="inlineStr">
        <is>
          <t>J. Weber</t>
        </is>
      </c>
      <c r="F33" t="inlineStr">
        <is>
          <t>Telematics</t>
        </is>
      </c>
      <c r="G33" t="inlineStr">
        <is>
          <t>LTE Cat 1 bis</t>
        </is>
      </c>
      <c r="H33" t="inlineStr">
        <is>
          <t>Pilot</t>
        </is>
      </c>
      <c r="I33" t="n">
        <v>0.85</v>
      </c>
      <c r="J33" t="n">
        <v>50000</v>
      </c>
      <c r="K33" t="n">
        <v>9.43</v>
      </c>
      <c r="L33" t="n">
        <v>4</v>
      </c>
      <c r="M33" t="n">
        <v>471500</v>
      </c>
      <c r="N33" t="n">
        <v>1886000</v>
      </c>
      <c r="O33" t="n">
        <v>1603100</v>
      </c>
      <c r="P33" t="inlineStr">
        <is>
          <t>2026-06-27</t>
        </is>
      </c>
      <c r="Q33" t="inlineStr">
        <is>
          <t>2027-01-03</t>
        </is>
      </c>
      <c r="R33" t="n">
        <v>90</v>
      </c>
      <c r="S33" t="inlineStr">
        <is>
          <t>Pilot build follow-up</t>
        </is>
      </c>
      <c r="T33" t="inlineStr">
        <is>
          <t>Distributor</t>
        </is>
      </c>
      <c r="U33" t="inlineStr"/>
      <c r="V33">
        <f>IF(S33="",1,0)</f>
        <v/>
      </c>
      <c r="W33">
        <f>IF(J33="",1,0)</f>
        <v/>
      </c>
      <c r="X33">
        <f>IF(F33="",1,0)</f>
        <v/>
      </c>
      <c r="Y33">
        <f>IF(AND(AND(H33&lt;&gt;"Mass production",H33&lt;&gt;"Lost"),DATEVALUE(Q33)&lt;DATE(2026,10,20)),1,0)</f>
        <v/>
      </c>
      <c r="Z33">
        <f>IF(AND(AND(H33&lt;&gt;"Mass production",H33&lt;&gt;"Lost"),R33&gt;30),1,0)</f>
        <v/>
      </c>
      <c r="AA33">
        <f>IF(COUNTIFS($G$2:$G$247,G33,$F$2:$F$247,F33,$J$2:$J$247,J33,$K$2:$K$247,K33)&gt;1,1,0)</f>
        <v/>
      </c>
      <c r="AB33">
        <f>SUM(V33:AA33)</f>
        <v/>
      </c>
    </row>
    <row r="34">
      <c r="A34" t="inlineStr">
        <is>
          <t>OPP-26032</t>
        </is>
      </c>
      <c r="B34" t="inlineStr">
        <is>
          <t>Rhenus Devices</t>
        </is>
      </c>
      <c r="C34" t="inlineStr">
        <is>
          <t>DACH</t>
        </is>
      </c>
      <c r="D34" t="inlineStr">
        <is>
          <t>Austria</t>
        </is>
      </c>
      <c r="E34" t="inlineStr">
        <is>
          <t>L. Hoffmann</t>
        </is>
      </c>
      <c r="F34" t="inlineStr">
        <is>
          <t>Healthcare</t>
        </is>
      </c>
      <c r="G34" t="inlineStr">
        <is>
          <t>5G eMBB</t>
        </is>
      </c>
      <c r="H34" t="inlineStr">
        <is>
          <t>Lost</t>
        </is>
      </c>
      <c r="I34" t="n">
        <v>0</v>
      </c>
      <c r="J34" t="n">
        <v>5000</v>
      </c>
      <c r="K34" t="n">
        <v>110.12</v>
      </c>
      <c r="L34" t="n">
        <v>4</v>
      </c>
      <c r="M34" t="n">
        <v>550600</v>
      </c>
      <c r="N34" t="n">
        <v>2202400</v>
      </c>
      <c r="O34" t="n">
        <v>0</v>
      </c>
      <c r="P34" t="inlineStr">
        <is>
          <t>2026-03-19</t>
        </is>
      </c>
      <c r="Q34" t="inlineStr">
        <is>
          <t>2026-09-26</t>
        </is>
      </c>
      <c r="R34" t="n">
        <v>14</v>
      </c>
      <c r="S34" t="inlineStr">
        <is>
          <t>Pilot build follow-up</t>
        </is>
      </c>
      <c r="T34" t="inlineStr">
        <is>
          <t>Website</t>
        </is>
      </c>
      <c r="U34" t="inlineStr">
        <is>
          <t>Project cancelled</t>
        </is>
      </c>
      <c r="V34">
        <f>IF(S34="",1,0)</f>
        <v/>
      </c>
      <c r="W34">
        <f>IF(J34="",1,0)</f>
        <v/>
      </c>
      <c r="X34">
        <f>IF(F34="",1,0)</f>
        <v/>
      </c>
      <c r="Y34">
        <f>IF(AND(AND(H34&lt;&gt;"Mass production",H34&lt;&gt;"Lost"),DATEVALUE(Q34)&lt;DATE(2026,10,20)),1,0)</f>
        <v/>
      </c>
      <c r="Z34">
        <f>IF(AND(AND(H34&lt;&gt;"Mass production",H34&lt;&gt;"Lost"),R34&gt;30),1,0)</f>
        <v/>
      </c>
      <c r="AA34">
        <f>IF(COUNTIFS($G$2:$G$247,G34,$F$2:$F$247,F34,$J$2:$J$247,J34,$K$2:$K$247,K34)&gt;1,1,0)</f>
        <v/>
      </c>
      <c r="AB34">
        <f>SUM(V34:AA34)</f>
        <v/>
      </c>
    </row>
    <row r="35">
      <c r="A35" t="inlineStr">
        <is>
          <t>OPP-26033</t>
        </is>
      </c>
      <c r="B35" t="inlineStr">
        <is>
          <t>Zenit Tracking</t>
        </is>
      </c>
      <c r="C35" t="inlineStr">
        <is>
          <t>UK &amp; Ireland</t>
        </is>
      </c>
      <c r="D35" t="inlineStr">
        <is>
          <t>Ireland</t>
        </is>
      </c>
      <c r="E35" t="inlineStr">
        <is>
          <t>R. Patel</t>
        </is>
      </c>
      <c r="F35" t="inlineStr">
        <is>
          <t>Telematics</t>
        </is>
      </c>
      <c r="G35" t="inlineStr">
        <is>
          <t>Smart module</t>
        </is>
      </c>
      <c r="H35" t="inlineStr">
        <is>
          <t>Design-in</t>
        </is>
      </c>
      <c r="I35" t="n">
        <v>0.4</v>
      </c>
      <c r="J35" t="n">
        <v>5000</v>
      </c>
      <c r="K35" t="n">
        <v>69.48</v>
      </c>
      <c r="L35" t="n">
        <v>4</v>
      </c>
      <c r="M35" t="n">
        <v>347400</v>
      </c>
      <c r="N35" t="n">
        <v>1389600</v>
      </c>
      <c r="O35" t="n">
        <v>555840</v>
      </c>
      <c r="P35" t="inlineStr">
        <is>
          <t>2025-03-28</t>
        </is>
      </c>
      <c r="Q35" t="inlineStr">
        <is>
          <t>2027-05-15</t>
        </is>
      </c>
      <c r="R35" t="n">
        <v>25</v>
      </c>
      <c r="S35" t="inlineStr">
        <is>
          <t>Forecast confirmation</t>
        </is>
      </c>
      <c r="T35" t="inlineStr">
        <is>
          <t>Website</t>
        </is>
      </c>
      <c r="U35" t="inlineStr"/>
      <c r="V35">
        <f>IF(S35="",1,0)</f>
        <v/>
      </c>
      <c r="W35">
        <f>IF(J35="",1,0)</f>
        <v/>
      </c>
      <c r="X35">
        <f>IF(F35="",1,0)</f>
        <v/>
      </c>
      <c r="Y35">
        <f>IF(AND(AND(H35&lt;&gt;"Mass production",H35&lt;&gt;"Lost"),DATEVALUE(Q35)&lt;DATE(2026,10,20)),1,0)</f>
        <v/>
      </c>
      <c r="Z35">
        <f>IF(AND(AND(H35&lt;&gt;"Mass production",H35&lt;&gt;"Lost"),R35&gt;30),1,0)</f>
        <v/>
      </c>
      <c r="AA35">
        <f>IF(COUNTIFS($G$2:$G$247,G35,$F$2:$F$247,F35,$J$2:$J$247,J35,$K$2:$K$247,K35)&gt;1,1,0)</f>
        <v/>
      </c>
      <c r="AB35">
        <f>SUM(V35:AA35)</f>
        <v/>
      </c>
    </row>
    <row r="36">
      <c r="A36" t="inlineStr">
        <is>
          <t>OPP-26034</t>
        </is>
      </c>
      <c r="B36" t="inlineStr">
        <is>
          <t>Corvid Connect</t>
        </is>
      </c>
      <c r="C36" t="inlineStr">
        <is>
          <t>DACH</t>
        </is>
      </c>
      <c r="D36" t="inlineStr">
        <is>
          <t>Austria</t>
        </is>
      </c>
      <c r="E36" t="inlineStr">
        <is>
          <t>J. Weber</t>
        </is>
      </c>
      <c r="F36" t="inlineStr">
        <is>
          <t>Telematics</t>
        </is>
      </c>
      <c r="G36" t="inlineStr">
        <is>
          <t>5G eMBB</t>
        </is>
      </c>
      <c r="H36" t="inlineStr">
        <is>
          <t>Design-in</t>
        </is>
      </c>
      <c r="I36" t="n">
        <v>0.4</v>
      </c>
      <c r="J36" t="n">
        <v>20000</v>
      </c>
      <c r="K36" t="n">
        <v>132.08</v>
      </c>
      <c r="L36" t="n">
        <v>2</v>
      </c>
      <c r="M36" t="n">
        <v>2641600</v>
      </c>
      <c r="N36" t="n">
        <v>5283200</v>
      </c>
      <c r="O36" t="n">
        <v>2113280</v>
      </c>
      <c r="P36" t="inlineStr">
        <is>
          <t>2025-11-09</t>
        </is>
      </c>
      <c r="Q36" t="inlineStr">
        <is>
          <t>2027-05-10</t>
        </is>
      </c>
      <c r="R36" t="n">
        <v>80</v>
      </c>
      <c r="S36" t="inlineStr">
        <is>
          <t>Send samples</t>
        </is>
      </c>
      <c r="T36" t="inlineStr">
        <is>
          <t>Direct</t>
        </is>
      </c>
      <c r="U36" t="inlineStr"/>
      <c r="V36">
        <f>IF(S36="",1,0)</f>
        <v/>
      </c>
      <c r="W36">
        <f>IF(J36="",1,0)</f>
        <v/>
      </c>
      <c r="X36">
        <f>IF(F36="",1,0)</f>
        <v/>
      </c>
      <c r="Y36">
        <f>IF(AND(AND(H36&lt;&gt;"Mass production",H36&lt;&gt;"Lost"),DATEVALUE(Q36)&lt;DATE(2026,10,20)),1,0)</f>
        <v/>
      </c>
      <c r="Z36">
        <f>IF(AND(AND(H36&lt;&gt;"Mass production",H36&lt;&gt;"Lost"),R36&gt;30),1,0)</f>
        <v/>
      </c>
      <c r="AA36">
        <f>IF(COUNTIFS($G$2:$G$247,G36,$F$2:$F$247,F36,$J$2:$J$247,J36,$K$2:$K$247,K36)&gt;1,1,0)</f>
        <v/>
      </c>
      <c r="AB36">
        <f>SUM(V36:AA36)</f>
        <v/>
      </c>
    </row>
    <row r="37">
      <c r="A37" t="inlineStr">
        <is>
          <t>OPP-26035</t>
        </is>
      </c>
      <c r="B37" t="inlineStr">
        <is>
          <t>Bluecell Telematics</t>
        </is>
      </c>
      <c r="C37" t="inlineStr">
        <is>
          <t>Nordics</t>
        </is>
      </c>
      <c r="D37" t="inlineStr">
        <is>
          <t>Sweden</t>
        </is>
      </c>
      <c r="E37" t="inlineStr">
        <is>
          <t>E. Lindqvist</t>
        </is>
      </c>
      <c r="F37" t="inlineStr">
        <is>
          <t>Telematics</t>
        </is>
      </c>
      <c r="G37" t="inlineStr">
        <is>
          <t>Wi-Fi / Bluetooth</t>
        </is>
      </c>
      <c r="H37" t="inlineStr">
        <is>
          <t>Mass production</t>
        </is>
      </c>
      <c r="I37" t="n">
        <v>1</v>
      </c>
      <c r="J37" t="n">
        <v>3000</v>
      </c>
      <c r="K37" t="n">
        <v>5.46</v>
      </c>
      <c r="L37" t="n">
        <v>5</v>
      </c>
      <c r="M37" t="n">
        <v>16380</v>
      </c>
      <c r="N37" t="n">
        <v>81900</v>
      </c>
      <c r="O37" t="n">
        <v>81900</v>
      </c>
      <c r="P37" t="inlineStr">
        <is>
          <t>2025-06-20</t>
        </is>
      </c>
      <c r="Q37" t="inlineStr">
        <is>
          <t>2025-10-25</t>
        </is>
      </c>
      <c r="R37" t="n">
        <v>114</v>
      </c>
      <c r="S37" t="inlineStr">
        <is>
          <t>Pilot build follow-up</t>
        </is>
      </c>
      <c r="T37" t="inlineStr">
        <is>
          <t>Direct</t>
        </is>
      </c>
      <c r="U37" t="inlineStr"/>
      <c r="V37">
        <f>IF(S37="",1,0)</f>
        <v/>
      </c>
      <c r="W37">
        <f>IF(J37="",1,0)</f>
        <v/>
      </c>
      <c r="X37">
        <f>IF(F37="",1,0)</f>
        <v/>
      </c>
      <c r="Y37">
        <f>IF(AND(AND(H37&lt;&gt;"Mass production",H37&lt;&gt;"Lost"),DATEVALUE(Q37)&lt;DATE(2026,10,20)),1,0)</f>
        <v/>
      </c>
      <c r="Z37">
        <f>IF(AND(AND(H37&lt;&gt;"Mass production",H37&lt;&gt;"Lost"),R37&gt;30),1,0)</f>
        <v/>
      </c>
      <c r="AA37">
        <f>IF(COUNTIFS($G$2:$G$247,G37,$F$2:$F$247,F37,$J$2:$J$247,J37,$K$2:$K$247,K37)&gt;1,1,0)</f>
        <v/>
      </c>
      <c r="AB37">
        <f>SUM(V37:AA37)</f>
        <v/>
      </c>
    </row>
    <row r="38">
      <c r="A38" t="inlineStr">
        <is>
          <t>OPP-26036</t>
        </is>
      </c>
      <c r="B38" t="inlineStr">
        <is>
          <t>Lumen Connect</t>
        </is>
      </c>
      <c r="C38" t="inlineStr">
        <is>
          <t>DACH</t>
        </is>
      </c>
      <c r="D38" t="inlineStr">
        <is>
          <t>Austria</t>
        </is>
      </c>
      <c r="E38" t="inlineStr">
        <is>
          <t>J. Weber</t>
        </is>
      </c>
      <c r="F38" t="inlineStr">
        <is>
          <t>Industrial IoT</t>
        </is>
      </c>
      <c r="G38" t="inlineStr">
        <is>
          <t>LTE Cat 1 bis</t>
        </is>
      </c>
      <c r="H38" t="inlineStr">
        <is>
          <t>Lead</t>
        </is>
      </c>
      <c r="I38" t="n">
        <v>0.05</v>
      </c>
      <c r="J38" t="n">
        <v>50000</v>
      </c>
      <c r="K38" t="n">
        <v>10.48</v>
      </c>
      <c r="L38" t="n">
        <v>4</v>
      </c>
      <c r="M38" t="n">
        <v>524000</v>
      </c>
      <c r="N38" t="n">
        <v>2096000</v>
      </c>
      <c r="O38" t="n">
        <v>104800</v>
      </c>
      <c r="P38" t="inlineStr">
        <is>
          <t>2025-11-10</t>
        </is>
      </c>
      <c r="Q38" t="inlineStr">
        <is>
          <t>2027-07-27</t>
        </is>
      </c>
      <c r="R38" t="n">
        <v>11</v>
      </c>
      <c r="S38" t="inlineStr">
        <is>
          <t>Pilot build follow-up</t>
        </is>
      </c>
      <c r="T38" t="inlineStr">
        <is>
          <t>FAE referral</t>
        </is>
      </c>
      <c r="U38" t="inlineStr"/>
      <c r="V38">
        <f>IF(S38="",1,0)</f>
        <v/>
      </c>
      <c r="W38">
        <f>IF(J38="",1,0)</f>
        <v/>
      </c>
      <c r="X38">
        <f>IF(F38="",1,0)</f>
        <v/>
      </c>
      <c r="Y38">
        <f>IF(AND(AND(H38&lt;&gt;"Mass production",H38&lt;&gt;"Lost"),DATEVALUE(Q38)&lt;DATE(2026,10,20)),1,0)</f>
        <v/>
      </c>
      <c r="Z38">
        <f>IF(AND(AND(H38&lt;&gt;"Mass production",H38&lt;&gt;"Lost"),R38&gt;30),1,0)</f>
        <v/>
      </c>
      <c r="AA38">
        <f>IF(COUNTIFS($G$2:$G$247,G38,$F$2:$F$247,F38,$J$2:$J$247,J38,$K$2:$K$247,K38)&gt;1,1,0)</f>
        <v/>
      </c>
      <c r="AB38">
        <f>SUM(V38:AA38)</f>
        <v/>
      </c>
    </row>
    <row r="39">
      <c r="A39" t="inlineStr">
        <is>
          <t>OPP-26037</t>
        </is>
      </c>
      <c r="B39" t="inlineStr">
        <is>
          <t>Zenit Labs</t>
        </is>
      </c>
      <c r="C39" t="inlineStr">
        <is>
          <t>UK &amp; Ireland</t>
        </is>
      </c>
      <c r="D39" t="inlineStr">
        <is>
          <t>Ireland</t>
        </is>
      </c>
      <c r="E39" t="inlineStr">
        <is>
          <t>R. Patel</t>
        </is>
      </c>
      <c r="F39" t="inlineStr">
        <is>
          <t>Healthcare</t>
        </is>
      </c>
      <c r="G39" t="inlineStr">
        <is>
          <t>Wi-Fi / Bluetooth</t>
        </is>
      </c>
      <c r="H39" t="inlineStr">
        <is>
          <t>Lost</t>
        </is>
      </c>
      <c r="I39" t="n">
        <v>0</v>
      </c>
      <c r="J39" t="n">
        <v>3000</v>
      </c>
      <c r="K39" t="n">
        <v>4.72</v>
      </c>
      <c r="L39" t="n">
        <v>4</v>
      </c>
      <c r="M39" t="n">
        <v>14160</v>
      </c>
      <c r="N39" t="n">
        <v>56640</v>
      </c>
      <c r="O39" t="n">
        <v>0</v>
      </c>
      <c r="P39" t="inlineStr">
        <is>
          <t>2026-04-13</t>
        </is>
      </c>
      <c r="Q39" t="inlineStr">
        <is>
          <t>2026-09-21</t>
        </is>
      </c>
      <c r="R39" t="n">
        <v>16</v>
      </c>
      <c r="S39" t="inlineStr">
        <is>
          <t>Forecast confirmation</t>
        </is>
      </c>
      <c r="T39" t="inlineStr">
        <is>
          <t>Distributor</t>
        </is>
      </c>
      <c r="U39" t="inlineStr">
        <is>
          <t>Competitor module</t>
        </is>
      </c>
      <c r="V39">
        <f>IF(S39="",1,0)</f>
        <v/>
      </c>
      <c r="W39">
        <f>IF(J39="",1,0)</f>
        <v/>
      </c>
      <c r="X39">
        <f>IF(F39="",1,0)</f>
        <v/>
      </c>
      <c r="Y39">
        <f>IF(AND(AND(H39&lt;&gt;"Mass production",H39&lt;&gt;"Lost"),DATEVALUE(Q39)&lt;DATE(2026,10,20)),1,0)</f>
        <v/>
      </c>
      <c r="Z39">
        <f>IF(AND(AND(H39&lt;&gt;"Mass production",H39&lt;&gt;"Lost"),R39&gt;30),1,0)</f>
        <v/>
      </c>
      <c r="AA39">
        <f>IF(COUNTIFS($G$2:$G$247,G39,$F$2:$F$247,F39,$J$2:$J$247,J39,$K$2:$K$247,K39)&gt;1,1,0)</f>
        <v/>
      </c>
      <c r="AB39">
        <f>SUM(V39:AA39)</f>
        <v/>
      </c>
    </row>
    <row r="40">
      <c r="A40" t="inlineStr">
        <is>
          <t>OPP-26038</t>
        </is>
      </c>
      <c r="B40" t="inlineStr">
        <is>
          <t>Bluecell Labs</t>
        </is>
      </c>
      <c r="C40" t="inlineStr">
        <is>
          <t>Southern Europe</t>
        </is>
      </c>
      <c r="D40" t="inlineStr">
        <is>
          <t>Portugal</t>
        </is>
      </c>
      <c r="E40" t="inlineStr">
        <is>
          <t>A. Garcia</t>
        </is>
      </c>
      <c r="F40" t="inlineStr">
        <is>
          <t>Telematics</t>
        </is>
      </c>
      <c r="G40" t="inlineStr">
        <is>
          <t>5G eMBB</t>
        </is>
      </c>
      <c r="H40" t="inlineStr">
        <is>
          <t>Design-win</t>
        </is>
      </c>
      <c r="I40" t="n">
        <v>0.7</v>
      </c>
      <c r="J40" t="n">
        <v>3000</v>
      </c>
      <c r="K40" t="n">
        <v>94.34999999999999</v>
      </c>
      <c r="L40" t="n">
        <v>5</v>
      </c>
      <c r="M40" t="n">
        <v>283050</v>
      </c>
      <c r="N40" t="n">
        <v>1415250</v>
      </c>
      <c r="O40" t="n">
        <v>990675</v>
      </c>
      <c r="P40" t="inlineStr">
        <is>
          <t>2025-09-04</t>
        </is>
      </c>
      <c r="Q40" t="inlineStr">
        <is>
          <t>2027-01-11</t>
        </is>
      </c>
      <c r="R40" t="n">
        <v>7</v>
      </c>
      <c r="S40" t="inlineStr">
        <is>
          <t>Pilot build follow-up</t>
        </is>
      </c>
      <c r="T40" t="inlineStr">
        <is>
          <t>Tradeshow</t>
        </is>
      </c>
      <c r="U40" t="inlineStr"/>
      <c r="V40">
        <f>IF(S40="",1,0)</f>
        <v/>
      </c>
      <c r="W40">
        <f>IF(J40="",1,0)</f>
        <v/>
      </c>
      <c r="X40">
        <f>IF(F40="",1,0)</f>
        <v/>
      </c>
      <c r="Y40">
        <f>IF(AND(AND(H40&lt;&gt;"Mass production",H40&lt;&gt;"Lost"),DATEVALUE(Q40)&lt;DATE(2026,10,20)),1,0)</f>
        <v/>
      </c>
      <c r="Z40">
        <f>IF(AND(AND(H40&lt;&gt;"Mass production",H40&lt;&gt;"Lost"),R40&gt;30),1,0)</f>
        <v/>
      </c>
      <c r="AA40">
        <f>IF(COUNTIFS($G$2:$G$247,G40,$F$2:$F$247,F40,$J$2:$J$247,J40,$K$2:$K$247,K40)&gt;1,1,0)</f>
        <v/>
      </c>
      <c r="AB40">
        <f>SUM(V40:AA40)</f>
        <v/>
      </c>
    </row>
    <row r="41">
      <c r="A41" t="inlineStr">
        <is>
          <t>OPP-26039</t>
        </is>
      </c>
      <c r="B41" t="inlineStr">
        <is>
          <t>Pannon Devices</t>
        </is>
      </c>
      <c r="C41" t="inlineStr">
        <is>
          <t>CEE</t>
        </is>
      </c>
      <c r="D41" t="inlineStr">
        <is>
          <t>Poland</t>
        </is>
      </c>
      <c r="E41" t="inlineStr">
        <is>
          <t>D. Jovanovic</t>
        </is>
      </c>
      <c r="F41" t="inlineStr">
        <is>
          <t>Industrial IoT</t>
        </is>
      </c>
      <c r="G41" t="inlineStr">
        <is>
          <t>Smart module</t>
        </is>
      </c>
      <c r="H41" t="inlineStr">
        <is>
          <t>Lost</t>
        </is>
      </c>
      <c r="I41" t="n">
        <v>0</v>
      </c>
      <c r="J41" t="n">
        <v>3000</v>
      </c>
      <c r="K41" t="n">
        <v>72.33</v>
      </c>
      <c r="L41" t="n">
        <v>4</v>
      </c>
      <c r="M41" t="n">
        <v>216990</v>
      </c>
      <c r="N41" t="n">
        <v>867960</v>
      </c>
      <c r="O41" t="n">
        <v>0</v>
      </c>
      <c r="P41" t="inlineStr">
        <is>
          <t>2025-10-12</t>
        </is>
      </c>
      <c r="Q41" t="inlineStr">
        <is>
          <t>2026-10-10</t>
        </is>
      </c>
      <c r="R41" t="n">
        <v>10</v>
      </c>
      <c r="S41" t="inlineStr">
        <is>
          <t>Design review</t>
        </is>
      </c>
      <c r="T41" t="inlineStr">
        <is>
          <t>Website</t>
        </is>
      </c>
      <c r="U41" t="inlineStr">
        <is>
          <t>Price</t>
        </is>
      </c>
      <c r="V41">
        <f>IF(S41="",1,0)</f>
        <v/>
      </c>
      <c r="W41">
        <f>IF(J41="",1,0)</f>
        <v/>
      </c>
      <c r="X41">
        <f>IF(F41="",1,0)</f>
        <v/>
      </c>
      <c r="Y41">
        <f>IF(AND(AND(H41&lt;&gt;"Mass production",H41&lt;&gt;"Lost"),DATEVALUE(Q41)&lt;DATE(2026,10,20)),1,0)</f>
        <v/>
      </c>
      <c r="Z41">
        <f>IF(AND(AND(H41&lt;&gt;"Mass production",H41&lt;&gt;"Lost"),R41&gt;30),1,0)</f>
        <v/>
      </c>
      <c r="AA41">
        <f>IF(COUNTIFS($G$2:$G$247,G41,$F$2:$F$247,F41,$J$2:$J$247,J41,$K$2:$K$247,K41)&gt;1,1,0)</f>
        <v/>
      </c>
      <c r="AB41">
        <f>SUM(V41:AA41)</f>
        <v/>
      </c>
    </row>
    <row r="42">
      <c r="A42" t="inlineStr">
        <is>
          <t>OPP-26040</t>
        </is>
      </c>
      <c r="B42" t="inlineStr">
        <is>
          <t>Iberix Electronics</t>
        </is>
      </c>
      <c r="C42" t="inlineStr">
        <is>
          <t>Middle East &amp; Africa</t>
        </is>
      </c>
      <c r="D42" t="inlineStr">
        <is>
          <t>UAE</t>
        </is>
      </c>
      <c r="E42" t="inlineStr">
        <is>
          <t>O. Demir</t>
        </is>
      </c>
      <c r="F42" t="inlineStr">
        <is>
          <t>Industrial IoT</t>
        </is>
      </c>
      <c r="G42" t="inlineStr">
        <is>
          <t>LTE Cat 1 bis</t>
        </is>
      </c>
      <c r="H42" t="inlineStr">
        <is>
          <t>Sample / Evaluation</t>
        </is>
      </c>
      <c r="I42" t="n">
        <v>0.2</v>
      </c>
      <c r="J42" t="n">
        <v>10000</v>
      </c>
      <c r="K42" t="n">
        <v>10.97</v>
      </c>
      <c r="L42" t="n">
        <v>2</v>
      </c>
      <c r="M42" t="n">
        <v>109700</v>
      </c>
      <c r="N42" t="n">
        <v>219400</v>
      </c>
      <c r="O42" t="n">
        <v>43880</v>
      </c>
      <c r="P42" t="inlineStr">
        <is>
          <t>2025-08-21</t>
        </is>
      </c>
      <c r="Q42" t="inlineStr">
        <is>
          <t>2027-01-28</t>
        </is>
      </c>
      <c r="R42" t="n">
        <v>16</v>
      </c>
      <c r="S42" t="inlineStr">
        <is>
          <t>Forecast confirmation</t>
        </is>
      </c>
      <c r="T42" t="inlineStr">
        <is>
          <t>Direct</t>
        </is>
      </c>
      <c r="U42" t="inlineStr"/>
      <c r="V42">
        <f>IF(S42="",1,0)</f>
        <v/>
      </c>
      <c r="W42">
        <f>IF(J42="",1,0)</f>
        <v/>
      </c>
      <c r="X42">
        <f>IF(F42="",1,0)</f>
        <v/>
      </c>
      <c r="Y42">
        <f>IF(AND(AND(H42&lt;&gt;"Mass production",H42&lt;&gt;"Lost"),DATEVALUE(Q42)&lt;DATE(2026,10,20)),1,0)</f>
        <v/>
      </c>
      <c r="Z42">
        <f>IF(AND(AND(H42&lt;&gt;"Mass production",H42&lt;&gt;"Lost"),R42&gt;30),1,0)</f>
        <v/>
      </c>
      <c r="AA42">
        <f>IF(COUNTIFS($G$2:$G$247,G42,$F$2:$F$247,F42,$J$2:$J$247,J42,$K$2:$K$247,K42)&gt;1,1,0)</f>
        <v/>
      </c>
      <c r="AB42">
        <f>SUM(V42:AA42)</f>
        <v/>
      </c>
    </row>
    <row r="43">
      <c r="A43" t="inlineStr">
        <is>
          <t>OPP-26041</t>
        </is>
      </c>
      <c r="B43" t="inlineStr">
        <is>
          <t>Nordwind Tracking</t>
        </is>
      </c>
      <c r="C43" t="inlineStr">
        <is>
          <t>Nordics</t>
        </is>
      </c>
      <c r="D43" t="inlineStr">
        <is>
          <t>Denmark</t>
        </is>
      </c>
      <c r="E43" t="inlineStr">
        <is>
          <t>E. Lindqvist</t>
        </is>
      </c>
      <c r="F43" t="inlineStr">
        <is>
          <t>Automotive &amp; C-V2X</t>
        </is>
      </c>
      <c r="G43" t="inlineStr">
        <is>
          <t>Smart module</t>
        </is>
      </c>
      <c r="H43" t="inlineStr">
        <is>
          <t>Design-win</t>
        </is>
      </c>
      <c r="I43" t="n">
        <v>0.7</v>
      </c>
      <c r="J43" t="n">
        <v>5000</v>
      </c>
      <c r="K43" t="n">
        <v>83.37</v>
      </c>
      <c r="L43" t="n">
        <v>2</v>
      </c>
      <c r="M43" t="n">
        <v>416850</v>
      </c>
      <c r="N43" t="n">
        <v>833700</v>
      </c>
      <c r="O43" t="n">
        <v>583590</v>
      </c>
      <c r="P43" t="inlineStr">
        <is>
          <t>2026-08-21</t>
        </is>
      </c>
      <c r="Q43" t="inlineStr">
        <is>
          <t>2027-02-15</t>
        </is>
      </c>
      <c r="R43" t="n">
        <v>12</v>
      </c>
      <c r="S43" t="inlineStr">
        <is>
          <t>Pilot build follow-up</t>
        </is>
      </c>
      <c r="T43" t="inlineStr">
        <is>
          <t>Direct</t>
        </is>
      </c>
      <c r="U43" t="inlineStr"/>
      <c r="V43">
        <f>IF(S43="",1,0)</f>
        <v/>
      </c>
      <c r="W43">
        <f>IF(J43="",1,0)</f>
        <v/>
      </c>
      <c r="X43">
        <f>IF(F43="",1,0)</f>
        <v/>
      </c>
      <c r="Y43">
        <f>IF(AND(AND(H43&lt;&gt;"Mass production",H43&lt;&gt;"Lost"),DATEVALUE(Q43)&lt;DATE(2026,10,20)),1,0)</f>
        <v/>
      </c>
      <c r="Z43">
        <f>IF(AND(AND(H43&lt;&gt;"Mass production",H43&lt;&gt;"Lost"),R43&gt;30),1,0)</f>
        <v/>
      </c>
      <c r="AA43">
        <f>IF(COUNTIFS($G$2:$G$247,G43,$F$2:$F$247,F43,$J$2:$J$247,J43,$K$2:$K$247,K43)&gt;1,1,0)</f>
        <v/>
      </c>
      <c r="AB43">
        <f>SUM(V43:AA43)</f>
        <v/>
      </c>
    </row>
    <row r="44">
      <c r="A44" t="inlineStr">
        <is>
          <t>OPP-26042</t>
        </is>
      </c>
      <c r="B44" t="inlineStr">
        <is>
          <t>Stellar Mobility</t>
        </is>
      </c>
      <c r="C44" t="inlineStr">
        <is>
          <t>DACH</t>
        </is>
      </c>
      <c r="D44" t="inlineStr">
        <is>
          <t>Switzerland</t>
        </is>
      </c>
      <c r="E44" t="inlineStr">
        <is>
          <t>L. Hoffmann</t>
        </is>
      </c>
      <c r="F44" t="inlineStr">
        <is>
          <t>POS &amp; payments</t>
        </is>
      </c>
      <c r="G44" t="inlineStr">
        <is>
          <t>GNSS</t>
        </is>
      </c>
      <c r="H44" t="inlineStr">
        <is>
          <t>Qualified</t>
        </is>
      </c>
      <c r="I44" t="n">
        <v>0.1</v>
      </c>
      <c r="J44" t="n">
        <v>15000</v>
      </c>
      <c r="K44" t="n">
        <v>8.32</v>
      </c>
      <c r="L44" t="n">
        <v>5</v>
      </c>
      <c r="M44" t="n">
        <v>124800</v>
      </c>
      <c r="N44" t="n">
        <v>624000</v>
      </c>
      <c r="O44" t="n">
        <v>62400</v>
      </c>
      <c r="P44" t="inlineStr">
        <is>
          <t>2025-05-05</t>
        </is>
      </c>
      <c r="Q44" t="inlineStr">
        <is>
          <t>2027-01-27</t>
        </is>
      </c>
      <c r="R44" t="n">
        <v>63</v>
      </c>
      <c r="S44" t="inlineStr">
        <is>
          <t>Forecast confirmation</t>
        </is>
      </c>
      <c r="T44" t="inlineStr">
        <is>
          <t>Website</t>
        </is>
      </c>
      <c r="U44" t="inlineStr"/>
      <c r="V44">
        <f>IF(S44="",1,0)</f>
        <v/>
      </c>
      <c r="W44">
        <f>IF(J44="",1,0)</f>
        <v/>
      </c>
      <c r="X44">
        <f>IF(F44="",1,0)</f>
        <v/>
      </c>
      <c r="Y44">
        <f>IF(AND(AND(H44&lt;&gt;"Mass production",H44&lt;&gt;"Lost"),DATEVALUE(Q44)&lt;DATE(2026,10,20)),1,0)</f>
        <v/>
      </c>
      <c r="Z44">
        <f>IF(AND(AND(H44&lt;&gt;"Mass production",H44&lt;&gt;"Lost"),R44&gt;30),1,0)</f>
        <v/>
      </c>
      <c r="AA44">
        <f>IF(COUNTIFS($G$2:$G$247,G44,$F$2:$F$247,F44,$J$2:$J$247,J44,$K$2:$K$247,K44)&gt;1,1,0)</f>
        <v/>
      </c>
      <c r="AB44">
        <f>SUM(V44:AA44)</f>
        <v/>
      </c>
    </row>
    <row r="45">
      <c r="A45" t="inlineStr">
        <is>
          <t>OPP-26043</t>
        </is>
      </c>
      <c r="B45" t="inlineStr">
        <is>
          <t>Meridian Telematics</t>
        </is>
      </c>
      <c r="C45" t="inlineStr">
        <is>
          <t>UK &amp; Ireland</t>
        </is>
      </c>
      <c r="D45" t="inlineStr">
        <is>
          <t>Ireland</t>
        </is>
      </c>
      <c r="E45" t="inlineStr">
        <is>
          <t>S. Clarke</t>
        </is>
      </c>
      <c r="F45" t="inlineStr">
        <is>
          <t>Telematics</t>
        </is>
      </c>
      <c r="G45" t="inlineStr">
        <is>
          <t>5G eMBB</t>
        </is>
      </c>
      <c r="H45" t="inlineStr">
        <is>
          <t>Qualified</t>
        </is>
      </c>
      <c r="I45" t="n">
        <v>0.1</v>
      </c>
      <c r="J45" t="n">
        <v>20000</v>
      </c>
      <c r="K45" t="n">
        <v>132.31</v>
      </c>
      <c r="L45" t="n">
        <v>5</v>
      </c>
      <c r="M45" t="n">
        <v>2646200</v>
      </c>
      <c r="N45" t="n">
        <v>13231000</v>
      </c>
      <c r="O45" t="n">
        <v>1323100</v>
      </c>
      <c r="P45" t="inlineStr">
        <is>
          <t>2025-09-21</t>
        </is>
      </c>
      <c r="Q45" t="inlineStr">
        <is>
          <t>2026-10-26</t>
        </is>
      </c>
      <c r="R45" t="n">
        <v>12</v>
      </c>
      <c r="S45" t="inlineStr">
        <is>
          <t>Forecast confirmation</t>
        </is>
      </c>
      <c r="T45" t="inlineStr">
        <is>
          <t>Tradeshow</t>
        </is>
      </c>
      <c r="U45" t="inlineStr"/>
      <c r="V45">
        <f>IF(S45="",1,0)</f>
        <v/>
      </c>
      <c r="W45">
        <f>IF(J45="",1,0)</f>
        <v/>
      </c>
      <c r="X45">
        <f>IF(F45="",1,0)</f>
        <v/>
      </c>
      <c r="Y45">
        <f>IF(AND(AND(H45&lt;&gt;"Mass production",H45&lt;&gt;"Lost"),DATEVALUE(Q45)&lt;DATE(2026,10,20)),1,0)</f>
        <v/>
      </c>
      <c r="Z45">
        <f>IF(AND(AND(H45&lt;&gt;"Mass production",H45&lt;&gt;"Lost"),R45&gt;30),1,0)</f>
        <v/>
      </c>
      <c r="AA45">
        <f>IF(COUNTIFS($G$2:$G$247,G45,$F$2:$F$247,F45,$J$2:$J$247,J45,$K$2:$K$247,K45)&gt;1,1,0)</f>
        <v/>
      </c>
      <c r="AB45">
        <f>SUM(V45:AA45)</f>
        <v/>
      </c>
    </row>
    <row r="46">
      <c r="A46" t="inlineStr">
        <is>
          <t>OPP-26044</t>
        </is>
      </c>
      <c r="B46" t="inlineStr">
        <is>
          <t>Vector Devices</t>
        </is>
      </c>
      <c r="C46" t="inlineStr">
        <is>
          <t>UK &amp; Ireland</t>
        </is>
      </c>
      <c r="D46" t="inlineStr">
        <is>
          <t>United Kingdom</t>
        </is>
      </c>
      <c r="E46" t="inlineStr">
        <is>
          <t>S. Clarke</t>
        </is>
      </c>
      <c r="F46" t="inlineStr">
        <is>
          <t>Telematics</t>
        </is>
      </c>
      <c r="G46" t="inlineStr">
        <is>
          <t>Smart module</t>
        </is>
      </c>
      <c r="H46" t="inlineStr">
        <is>
          <t>Sample / Evaluation</t>
        </is>
      </c>
      <c r="I46" t="n">
        <v>0.2</v>
      </c>
      <c r="J46" t="inlineStr"/>
      <c r="K46" t="n">
        <v>92.01000000000001</v>
      </c>
      <c r="L46" t="n">
        <v>3</v>
      </c>
      <c r="M46" t="n">
        <v>0</v>
      </c>
      <c r="N46" t="n">
        <v>0</v>
      </c>
      <c r="O46" t="n">
        <v>0</v>
      </c>
      <c r="P46" t="inlineStr">
        <is>
          <t>2025-06-05</t>
        </is>
      </c>
      <c r="Q46" t="inlineStr">
        <is>
          <t>2026-09-22</t>
        </is>
      </c>
      <c r="R46" t="n">
        <v>9</v>
      </c>
      <c r="S46" t="inlineStr">
        <is>
          <t>Pilot build follow-up</t>
        </is>
      </c>
      <c r="T46" t="inlineStr">
        <is>
          <t>Tradeshow</t>
        </is>
      </c>
      <c r="U46" t="inlineStr"/>
      <c r="V46">
        <f>IF(S46="",1,0)</f>
        <v/>
      </c>
      <c r="W46">
        <f>IF(J46="",1,0)</f>
        <v/>
      </c>
      <c r="X46">
        <f>IF(F46="",1,0)</f>
        <v/>
      </c>
      <c r="Y46">
        <f>IF(AND(AND(H46&lt;&gt;"Mass production",H46&lt;&gt;"Lost"),DATEVALUE(Q46)&lt;DATE(2026,10,20)),1,0)</f>
        <v/>
      </c>
      <c r="Z46">
        <f>IF(AND(AND(H46&lt;&gt;"Mass production",H46&lt;&gt;"Lost"),R46&gt;30),1,0)</f>
        <v/>
      </c>
      <c r="AA46">
        <f>IF(COUNTIFS($G$2:$G$247,G46,$F$2:$F$247,F46,$J$2:$J$247,J46,$K$2:$K$247,K46)&gt;1,1,0)</f>
        <v/>
      </c>
      <c r="AB46">
        <f>SUM(V46:AA46)</f>
        <v/>
      </c>
    </row>
    <row r="47">
      <c r="A47" t="inlineStr">
        <is>
          <t>OPP-26045</t>
        </is>
      </c>
      <c r="B47" t="inlineStr">
        <is>
          <t>Solent Devices</t>
        </is>
      </c>
      <c r="C47" t="inlineStr">
        <is>
          <t>Nordics</t>
        </is>
      </c>
      <c r="D47" t="inlineStr">
        <is>
          <t>Norway</t>
        </is>
      </c>
      <c r="E47" t="inlineStr">
        <is>
          <t>E. Lindqvist</t>
        </is>
      </c>
      <c r="F47" t="inlineStr">
        <is>
          <t>Asset tracking</t>
        </is>
      </c>
      <c r="G47" t="inlineStr">
        <is>
          <t>LTE Cat 1 bis</t>
        </is>
      </c>
      <c r="H47" t="inlineStr">
        <is>
          <t>Lost</t>
        </is>
      </c>
      <c r="I47" t="n">
        <v>0</v>
      </c>
      <c r="J47" t="n">
        <v>3000</v>
      </c>
      <c r="K47" t="n">
        <v>10.99</v>
      </c>
      <c r="L47" t="n">
        <v>2</v>
      </c>
      <c r="M47" t="n">
        <v>32970</v>
      </c>
      <c r="N47" t="n">
        <v>65940</v>
      </c>
      <c r="O47" t="n">
        <v>0</v>
      </c>
      <c r="P47" t="inlineStr">
        <is>
          <t>2026-02-02</t>
        </is>
      </c>
      <c r="Q47" t="inlineStr">
        <is>
          <t>2026-10-15</t>
        </is>
      </c>
      <c r="R47" t="n">
        <v>29</v>
      </c>
      <c r="S47" t="inlineStr">
        <is>
          <t>Design review</t>
        </is>
      </c>
      <c r="T47" t="inlineStr">
        <is>
          <t>Tradeshow</t>
        </is>
      </c>
      <c r="U47" t="inlineStr">
        <is>
          <t>Certification timeline</t>
        </is>
      </c>
      <c r="V47">
        <f>IF(S47="",1,0)</f>
        <v/>
      </c>
      <c r="W47">
        <f>IF(J47="",1,0)</f>
        <v/>
      </c>
      <c r="X47">
        <f>IF(F47="",1,0)</f>
        <v/>
      </c>
      <c r="Y47">
        <f>IF(AND(AND(H47&lt;&gt;"Mass production",H47&lt;&gt;"Lost"),DATEVALUE(Q47)&lt;DATE(2026,10,20)),1,0)</f>
        <v/>
      </c>
      <c r="Z47">
        <f>IF(AND(AND(H47&lt;&gt;"Mass production",H47&lt;&gt;"Lost"),R47&gt;30),1,0)</f>
        <v/>
      </c>
      <c r="AA47">
        <f>IF(COUNTIFS($G$2:$G$247,G47,$F$2:$F$247,F47,$J$2:$J$247,J47,$K$2:$K$247,K47)&gt;1,1,0)</f>
        <v/>
      </c>
      <c r="AB47">
        <f>SUM(V47:AA47)</f>
        <v/>
      </c>
    </row>
    <row r="48">
      <c r="A48" t="inlineStr">
        <is>
          <t>OPP-26046</t>
        </is>
      </c>
      <c r="B48" t="inlineStr">
        <is>
          <t>Cedar Mobility</t>
        </is>
      </c>
      <c r="C48" t="inlineStr">
        <is>
          <t>Middle East &amp; Africa</t>
        </is>
      </c>
      <c r="D48" t="inlineStr">
        <is>
          <t>UAE</t>
        </is>
      </c>
      <c r="E48" t="inlineStr">
        <is>
          <t>O. Demir</t>
        </is>
      </c>
      <c r="F48" t="inlineStr">
        <is>
          <t>Smart metering</t>
        </is>
      </c>
      <c r="G48" t="inlineStr">
        <is>
          <t>LTE Cat 1 bis</t>
        </is>
      </c>
      <c r="H48" t="inlineStr">
        <is>
          <t>Lead</t>
        </is>
      </c>
      <c r="I48" t="n">
        <v>0.05</v>
      </c>
      <c r="J48" t="n">
        <v>30000</v>
      </c>
      <c r="K48" t="n">
        <v>8.26</v>
      </c>
      <c r="L48" t="n">
        <v>3</v>
      </c>
      <c r="M48" t="n">
        <v>247800</v>
      </c>
      <c r="N48" t="n">
        <v>743400</v>
      </c>
      <c r="O48" t="n">
        <v>37170</v>
      </c>
      <c r="P48" t="inlineStr">
        <is>
          <t>2025-09-24</t>
        </is>
      </c>
      <c r="Q48" t="inlineStr">
        <is>
          <t>2026-10-30</t>
        </is>
      </c>
      <c r="R48" t="n">
        <v>100</v>
      </c>
      <c r="S48" t="inlineStr">
        <is>
          <t>Design review</t>
        </is>
      </c>
      <c r="T48" t="inlineStr">
        <is>
          <t>Direct</t>
        </is>
      </c>
      <c r="U48" t="inlineStr"/>
      <c r="V48">
        <f>IF(S48="",1,0)</f>
        <v/>
      </c>
      <c r="W48">
        <f>IF(J48="",1,0)</f>
        <v/>
      </c>
      <c r="X48">
        <f>IF(F48="",1,0)</f>
        <v/>
      </c>
      <c r="Y48">
        <f>IF(AND(AND(H48&lt;&gt;"Mass production",H48&lt;&gt;"Lost"),DATEVALUE(Q48)&lt;DATE(2026,10,20)),1,0)</f>
        <v/>
      </c>
      <c r="Z48">
        <f>IF(AND(AND(H48&lt;&gt;"Mass production",H48&lt;&gt;"Lost"),R48&gt;30),1,0)</f>
        <v/>
      </c>
      <c r="AA48">
        <f>IF(COUNTIFS($G$2:$G$247,G48,$F$2:$F$247,F48,$J$2:$J$247,J48,$K$2:$K$247,K48)&gt;1,1,0)</f>
        <v/>
      </c>
      <c r="AB48">
        <f>SUM(V48:AA48)</f>
        <v/>
      </c>
    </row>
    <row r="49">
      <c r="A49" t="inlineStr">
        <is>
          <t>OPP-26047</t>
        </is>
      </c>
      <c r="B49" t="inlineStr">
        <is>
          <t>Pannon Systems</t>
        </is>
      </c>
      <c r="C49" t="inlineStr">
        <is>
          <t>France &amp; Benelux</t>
        </is>
      </c>
      <c r="D49" t="inlineStr">
        <is>
          <t>Netherlands</t>
        </is>
      </c>
      <c r="E49" t="inlineStr">
        <is>
          <t>C. Martin</t>
        </is>
      </c>
      <c r="F49" t="inlineStr">
        <is>
          <t>Automotive &amp; C-V2X</t>
        </is>
      </c>
      <c r="G49" t="inlineStr">
        <is>
          <t>5G eMBB</t>
        </is>
      </c>
      <c r="H49" t="inlineStr">
        <is>
          <t>Lead</t>
        </is>
      </c>
      <c r="I49" t="n">
        <v>0.05</v>
      </c>
      <c r="J49" t="n">
        <v>80000</v>
      </c>
      <c r="K49" t="n">
        <v>120.29</v>
      </c>
      <c r="L49" t="n">
        <v>2</v>
      </c>
      <c r="M49" t="n">
        <v>9623200</v>
      </c>
      <c r="N49" t="n">
        <v>19246400</v>
      </c>
      <c r="O49" t="n">
        <v>962320</v>
      </c>
      <c r="P49" t="inlineStr">
        <is>
          <t>2026-08-10</t>
        </is>
      </c>
      <c r="Q49" t="inlineStr">
        <is>
          <t>2027-10-17</t>
        </is>
      </c>
      <c r="R49" t="n">
        <v>22</v>
      </c>
      <c r="S49" t="inlineStr">
        <is>
          <t>Certification plan</t>
        </is>
      </c>
      <c r="T49" t="inlineStr">
        <is>
          <t>Distributor</t>
        </is>
      </c>
      <c r="U49" t="inlineStr"/>
      <c r="V49">
        <f>IF(S49="",1,0)</f>
        <v/>
      </c>
      <c r="W49">
        <f>IF(J49="",1,0)</f>
        <v/>
      </c>
      <c r="X49">
        <f>IF(F49="",1,0)</f>
        <v/>
      </c>
      <c r="Y49">
        <f>IF(AND(AND(H49&lt;&gt;"Mass production",H49&lt;&gt;"Lost"),DATEVALUE(Q49)&lt;DATE(2026,10,20)),1,0)</f>
        <v/>
      </c>
      <c r="Z49">
        <f>IF(AND(AND(H49&lt;&gt;"Mass production",H49&lt;&gt;"Lost"),R49&gt;30),1,0)</f>
        <v/>
      </c>
      <c r="AA49">
        <f>IF(COUNTIFS($G$2:$G$247,G49,$F$2:$F$247,F49,$J$2:$J$247,J49,$K$2:$K$247,K49)&gt;1,1,0)</f>
        <v/>
      </c>
      <c r="AB49">
        <f>SUM(V49:AA49)</f>
        <v/>
      </c>
    </row>
    <row r="50">
      <c r="A50" t="inlineStr">
        <is>
          <t>OPP-26048</t>
        </is>
      </c>
      <c r="B50" t="inlineStr">
        <is>
          <t>Meridian Systems</t>
        </is>
      </c>
      <c r="C50" t="inlineStr">
        <is>
          <t>Southern Europe</t>
        </is>
      </c>
      <c r="D50" t="inlineStr">
        <is>
          <t>Portugal</t>
        </is>
      </c>
      <c r="E50" t="inlineStr">
        <is>
          <t>M. Rossi</t>
        </is>
      </c>
      <c r="F50" t="inlineStr">
        <is>
          <t>Asset tracking</t>
        </is>
      </c>
      <c r="G50" t="inlineStr">
        <is>
          <t>5G eMBB</t>
        </is>
      </c>
      <c r="H50" t="inlineStr">
        <is>
          <t>Sample / Evaluation</t>
        </is>
      </c>
      <c r="I50" t="n">
        <v>0.2</v>
      </c>
      <c r="J50" t="n">
        <v>80000</v>
      </c>
      <c r="K50" t="n">
        <v>128.38</v>
      </c>
      <c r="L50" t="n">
        <v>2</v>
      </c>
      <c r="M50" t="n">
        <v>10270400</v>
      </c>
      <c r="N50" t="n">
        <v>20540800</v>
      </c>
      <c r="O50" t="n">
        <v>4108160</v>
      </c>
      <c r="P50" t="inlineStr">
        <is>
          <t>2025-12-21</t>
        </is>
      </c>
      <c r="Q50" t="inlineStr">
        <is>
          <t>2026-11-23</t>
        </is>
      </c>
      <c r="R50" t="n">
        <v>2</v>
      </c>
      <c r="S50" t="inlineStr">
        <is>
          <t>Send samples</t>
        </is>
      </c>
      <c r="T50" t="inlineStr">
        <is>
          <t>Distributor</t>
        </is>
      </c>
      <c r="U50" t="inlineStr"/>
      <c r="V50">
        <f>IF(S50="",1,0)</f>
        <v/>
      </c>
      <c r="W50">
        <f>IF(J50="",1,0)</f>
        <v/>
      </c>
      <c r="X50">
        <f>IF(F50="",1,0)</f>
        <v/>
      </c>
      <c r="Y50">
        <f>IF(AND(AND(H50&lt;&gt;"Mass production",H50&lt;&gt;"Lost"),DATEVALUE(Q50)&lt;DATE(2026,10,20)),1,0)</f>
        <v/>
      </c>
      <c r="Z50">
        <f>IF(AND(AND(H50&lt;&gt;"Mass production",H50&lt;&gt;"Lost"),R50&gt;30),1,0)</f>
        <v/>
      </c>
      <c r="AA50">
        <f>IF(COUNTIFS($G$2:$G$247,G50,$F$2:$F$247,F50,$J$2:$J$247,J50,$K$2:$K$247,K50)&gt;1,1,0)</f>
        <v/>
      </c>
      <c r="AB50">
        <f>SUM(V50:AA50)</f>
        <v/>
      </c>
    </row>
    <row r="51">
      <c r="A51" t="inlineStr">
        <is>
          <t>OPP-26049</t>
        </is>
      </c>
      <c r="B51" t="inlineStr">
        <is>
          <t>Zenit Tracking</t>
        </is>
      </c>
      <c r="C51" t="inlineStr">
        <is>
          <t>UK &amp; Ireland</t>
        </is>
      </c>
      <c r="D51" t="inlineStr">
        <is>
          <t>Ireland</t>
        </is>
      </c>
      <c r="E51" t="inlineStr">
        <is>
          <t>R. Patel</t>
        </is>
      </c>
      <c r="F51" t="inlineStr">
        <is>
          <t>Automotive &amp; C-V2X</t>
        </is>
      </c>
      <c r="G51" t="inlineStr">
        <is>
          <t>5G eMBB</t>
        </is>
      </c>
      <c r="H51" t="inlineStr">
        <is>
          <t>Sample / Evaluation</t>
        </is>
      </c>
      <c r="I51" t="n">
        <v>0.2</v>
      </c>
      <c r="J51" t="n">
        <v>5000</v>
      </c>
      <c r="K51" t="n">
        <v>99.59999999999999</v>
      </c>
      <c r="L51" t="n">
        <v>4</v>
      </c>
      <c r="M51" t="n">
        <v>498000</v>
      </c>
      <c r="N51" t="n">
        <v>1992000</v>
      </c>
      <c r="O51" t="n">
        <v>398400</v>
      </c>
      <c r="P51" t="inlineStr">
        <is>
          <t>2025-04-10</t>
        </is>
      </c>
      <c r="Q51" t="inlineStr">
        <is>
          <t>2026-11-07</t>
        </is>
      </c>
      <c r="R51" t="n">
        <v>11</v>
      </c>
      <c r="S51" t="inlineStr">
        <is>
          <t>Price negotiation</t>
        </is>
      </c>
      <c r="T51" t="inlineStr">
        <is>
          <t>Distributor</t>
        </is>
      </c>
      <c r="U51" t="inlineStr"/>
      <c r="V51">
        <f>IF(S51="",1,0)</f>
        <v/>
      </c>
      <c r="W51">
        <f>IF(J51="",1,0)</f>
        <v/>
      </c>
      <c r="X51">
        <f>IF(F51="",1,0)</f>
        <v/>
      </c>
      <c r="Y51">
        <f>IF(AND(AND(H51&lt;&gt;"Mass production",H51&lt;&gt;"Lost"),DATEVALUE(Q51)&lt;DATE(2026,10,20)),1,0)</f>
        <v/>
      </c>
      <c r="Z51">
        <f>IF(AND(AND(H51&lt;&gt;"Mass production",H51&lt;&gt;"Lost"),R51&gt;30),1,0)</f>
        <v/>
      </c>
      <c r="AA51">
        <f>IF(COUNTIFS($G$2:$G$247,G51,$F$2:$F$247,F51,$J$2:$J$247,J51,$K$2:$K$247,K51)&gt;1,1,0)</f>
        <v/>
      </c>
      <c r="AB51">
        <f>SUM(V51:AA51)</f>
        <v/>
      </c>
    </row>
    <row r="52">
      <c r="A52" t="inlineStr">
        <is>
          <t>OPP-26050</t>
        </is>
      </c>
      <c r="B52" t="inlineStr">
        <is>
          <t>Solent Devices</t>
        </is>
      </c>
      <c r="C52" t="inlineStr">
        <is>
          <t>Nordics</t>
        </is>
      </c>
      <c r="D52" t="inlineStr">
        <is>
          <t>Norway</t>
        </is>
      </c>
      <c r="E52" t="inlineStr">
        <is>
          <t>E. Lindqvist</t>
        </is>
      </c>
      <c r="F52" t="inlineStr">
        <is>
          <t>Telematics</t>
        </is>
      </c>
      <c r="G52" t="inlineStr">
        <is>
          <t>Wi-Fi / Bluetooth</t>
        </is>
      </c>
      <c r="H52" t="inlineStr">
        <is>
          <t>Pilot</t>
        </is>
      </c>
      <c r="I52" t="n">
        <v>0.85</v>
      </c>
      <c r="J52" t="n">
        <v>10000</v>
      </c>
      <c r="K52" t="n">
        <v>4.81</v>
      </c>
      <c r="L52" t="n">
        <v>4</v>
      </c>
      <c r="M52" t="n">
        <v>48100</v>
      </c>
      <c r="N52" t="n">
        <v>192400</v>
      </c>
      <c r="O52" t="n">
        <v>163540</v>
      </c>
      <c r="P52" t="inlineStr">
        <is>
          <t>2026-08-30</t>
        </is>
      </c>
      <c r="Q52" t="inlineStr">
        <is>
          <t>2026-10-11</t>
        </is>
      </c>
      <c r="R52" t="n">
        <v>27</v>
      </c>
      <c r="S52" t="inlineStr">
        <is>
          <t>Technical review call</t>
        </is>
      </c>
      <c r="T52" t="inlineStr">
        <is>
          <t>FAE referral</t>
        </is>
      </c>
      <c r="U52" t="inlineStr"/>
      <c r="V52">
        <f>IF(S52="",1,0)</f>
        <v/>
      </c>
      <c r="W52">
        <f>IF(J52="",1,0)</f>
        <v/>
      </c>
      <c r="X52">
        <f>IF(F52="",1,0)</f>
        <v/>
      </c>
      <c r="Y52">
        <f>IF(AND(AND(H52&lt;&gt;"Mass production",H52&lt;&gt;"Lost"),DATEVALUE(Q52)&lt;DATE(2026,10,20)),1,0)</f>
        <v/>
      </c>
      <c r="Z52">
        <f>IF(AND(AND(H52&lt;&gt;"Mass production",H52&lt;&gt;"Lost"),R52&gt;30),1,0)</f>
        <v/>
      </c>
      <c r="AA52">
        <f>IF(COUNTIFS($G$2:$G$247,G52,$F$2:$F$247,F52,$J$2:$J$247,J52,$K$2:$K$247,K52)&gt;1,1,0)</f>
        <v/>
      </c>
      <c r="AB52">
        <f>SUM(V52:AA52)</f>
        <v/>
      </c>
    </row>
    <row r="53">
      <c r="A53" t="inlineStr">
        <is>
          <t>OPP-26051</t>
        </is>
      </c>
      <c r="B53" t="inlineStr">
        <is>
          <t>Atlas Tracking</t>
        </is>
      </c>
      <c r="C53" t="inlineStr">
        <is>
          <t>DACH</t>
        </is>
      </c>
      <c r="D53" t="inlineStr">
        <is>
          <t>Switzerland</t>
        </is>
      </c>
      <c r="E53" t="inlineStr">
        <is>
          <t>L. Hoffmann</t>
        </is>
      </c>
      <c r="F53" t="inlineStr">
        <is>
          <t>Automotive &amp; C-V2X</t>
        </is>
      </c>
      <c r="G53" t="inlineStr">
        <is>
          <t>LTE Cat 1 bis</t>
        </is>
      </c>
      <c r="H53" t="inlineStr">
        <is>
          <t>Lead</t>
        </is>
      </c>
      <c r="I53" t="n">
        <v>0.05</v>
      </c>
      <c r="J53" t="n">
        <v>80000</v>
      </c>
      <c r="K53" t="n">
        <v>9.69</v>
      </c>
      <c r="L53" t="n">
        <v>5</v>
      </c>
      <c r="M53" t="n">
        <v>775200</v>
      </c>
      <c r="N53" t="n">
        <v>3876000</v>
      </c>
      <c r="O53" t="n">
        <v>193800</v>
      </c>
      <c r="P53" t="inlineStr">
        <is>
          <t>2025-11-02</t>
        </is>
      </c>
      <c r="Q53" t="inlineStr">
        <is>
          <t>2027-03-24</t>
        </is>
      </c>
      <c r="R53" t="n">
        <v>9</v>
      </c>
      <c r="S53" t="inlineStr">
        <is>
          <t>Technical review call</t>
        </is>
      </c>
      <c r="T53" t="inlineStr">
        <is>
          <t>Website</t>
        </is>
      </c>
      <c r="U53" t="inlineStr"/>
      <c r="V53">
        <f>IF(S53="",1,0)</f>
        <v/>
      </c>
      <c r="W53">
        <f>IF(J53="",1,0)</f>
        <v/>
      </c>
      <c r="X53">
        <f>IF(F53="",1,0)</f>
        <v/>
      </c>
      <c r="Y53">
        <f>IF(AND(AND(H53&lt;&gt;"Mass production",H53&lt;&gt;"Lost"),DATEVALUE(Q53)&lt;DATE(2026,10,20)),1,0)</f>
        <v/>
      </c>
      <c r="Z53">
        <f>IF(AND(AND(H53&lt;&gt;"Mass production",H53&lt;&gt;"Lost"),R53&gt;30),1,0)</f>
        <v/>
      </c>
      <c r="AA53">
        <f>IF(COUNTIFS($G$2:$G$247,G53,$F$2:$F$247,F53,$J$2:$J$247,J53,$K$2:$K$247,K53)&gt;1,1,0)</f>
        <v/>
      </c>
      <c r="AB53">
        <f>SUM(V53:AA53)</f>
        <v/>
      </c>
    </row>
    <row r="54">
      <c r="A54" t="inlineStr">
        <is>
          <t>OPP-26052</t>
        </is>
      </c>
      <c r="B54" t="inlineStr">
        <is>
          <t>Arcturus Labs</t>
        </is>
      </c>
      <c r="C54" t="inlineStr">
        <is>
          <t>DACH</t>
        </is>
      </c>
      <c r="D54" t="inlineStr">
        <is>
          <t>Switzerland</t>
        </is>
      </c>
      <c r="E54" t="inlineStr">
        <is>
          <t>L. Hoffmann</t>
        </is>
      </c>
      <c r="F54" t="inlineStr">
        <is>
          <t>POS &amp; payments</t>
        </is>
      </c>
      <c r="G54" t="inlineStr">
        <is>
          <t>5G eMBB</t>
        </is>
      </c>
      <c r="H54" t="inlineStr">
        <is>
          <t>Pilot</t>
        </is>
      </c>
      <c r="I54" t="n">
        <v>0.85</v>
      </c>
      <c r="J54" t="n">
        <v>8000</v>
      </c>
      <c r="K54" t="n">
        <v>108.65</v>
      </c>
      <c r="L54" t="n">
        <v>4</v>
      </c>
      <c r="M54" t="n">
        <v>869200</v>
      </c>
      <c r="N54" t="n">
        <v>3476800</v>
      </c>
      <c r="O54" t="n">
        <v>2955280</v>
      </c>
      <c r="P54" t="inlineStr">
        <is>
          <t>2025-10-18</t>
        </is>
      </c>
      <c r="Q54" t="inlineStr">
        <is>
          <t>2027-04-30</t>
        </is>
      </c>
      <c r="R54" t="n">
        <v>6</v>
      </c>
      <c r="S54" t="inlineStr">
        <is>
          <t>Forecast confirmation</t>
        </is>
      </c>
      <c r="T54" t="inlineStr">
        <is>
          <t>FAE referral</t>
        </is>
      </c>
      <c r="U54" t="inlineStr"/>
      <c r="V54">
        <f>IF(S54="",1,0)</f>
        <v/>
      </c>
      <c r="W54">
        <f>IF(J54="",1,0)</f>
        <v/>
      </c>
      <c r="X54">
        <f>IF(F54="",1,0)</f>
        <v/>
      </c>
      <c r="Y54">
        <f>IF(AND(AND(H54&lt;&gt;"Mass production",H54&lt;&gt;"Lost"),DATEVALUE(Q54)&lt;DATE(2026,10,20)),1,0)</f>
        <v/>
      </c>
      <c r="Z54">
        <f>IF(AND(AND(H54&lt;&gt;"Mass production",H54&lt;&gt;"Lost"),R54&gt;30),1,0)</f>
        <v/>
      </c>
      <c r="AA54">
        <f>IF(COUNTIFS($G$2:$G$247,G54,$F$2:$F$247,F54,$J$2:$J$247,J54,$K$2:$K$247,K54)&gt;1,1,0)</f>
        <v/>
      </c>
      <c r="AB54">
        <f>SUM(V54:AA54)</f>
        <v/>
      </c>
    </row>
    <row r="55">
      <c r="A55" t="inlineStr">
        <is>
          <t>OPP-26053</t>
        </is>
      </c>
      <c r="B55" t="inlineStr">
        <is>
          <t>Meridian Metering</t>
        </is>
      </c>
      <c r="C55" t="inlineStr">
        <is>
          <t>Southern Europe</t>
        </is>
      </c>
      <c r="D55" t="inlineStr">
        <is>
          <t>Portugal</t>
        </is>
      </c>
      <c r="E55" t="inlineStr">
        <is>
          <t>A. Garcia</t>
        </is>
      </c>
      <c r="F55" t="inlineStr">
        <is>
          <t>Automotive &amp; C-V2X</t>
        </is>
      </c>
      <c r="G55" t="inlineStr">
        <is>
          <t>Wi-Fi / Bluetooth</t>
        </is>
      </c>
      <c r="H55" t="inlineStr">
        <is>
          <t>Lead</t>
        </is>
      </c>
      <c r="I55" t="n">
        <v>0.05</v>
      </c>
      <c r="J55" t="n">
        <v>20000</v>
      </c>
      <c r="K55" t="n">
        <v>2.8</v>
      </c>
      <c r="L55" t="n">
        <v>2</v>
      </c>
      <c r="M55" t="n">
        <v>56000</v>
      </c>
      <c r="N55" t="n">
        <v>112000</v>
      </c>
      <c r="O55" t="n">
        <v>5600</v>
      </c>
      <c r="P55" t="inlineStr">
        <is>
          <t>2025-09-14</t>
        </is>
      </c>
      <c r="Q55" t="inlineStr">
        <is>
          <t>2027-10-30</t>
        </is>
      </c>
      <c r="R55" t="n">
        <v>106</v>
      </c>
      <c r="S55" t="inlineStr">
        <is>
          <t>Design review</t>
        </is>
      </c>
      <c r="T55" t="inlineStr">
        <is>
          <t>Distributor</t>
        </is>
      </c>
      <c r="U55" t="inlineStr"/>
      <c r="V55">
        <f>IF(S55="",1,0)</f>
        <v/>
      </c>
      <c r="W55">
        <f>IF(J55="",1,0)</f>
        <v/>
      </c>
      <c r="X55">
        <f>IF(F55="",1,0)</f>
        <v/>
      </c>
      <c r="Y55">
        <f>IF(AND(AND(H55&lt;&gt;"Mass production",H55&lt;&gt;"Lost"),DATEVALUE(Q55)&lt;DATE(2026,10,20)),1,0)</f>
        <v/>
      </c>
      <c r="Z55">
        <f>IF(AND(AND(H55&lt;&gt;"Mass production",H55&lt;&gt;"Lost"),R55&gt;30),1,0)</f>
        <v/>
      </c>
      <c r="AA55">
        <f>IF(COUNTIFS($G$2:$G$247,G55,$F$2:$F$247,F55,$J$2:$J$247,J55,$K$2:$K$247,K55)&gt;1,1,0)</f>
        <v/>
      </c>
      <c r="AB55">
        <f>SUM(V55:AA55)</f>
        <v/>
      </c>
    </row>
    <row r="56">
      <c r="A56" t="inlineStr">
        <is>
          <t>OPP-26054</t>
        </is>
      </c>
      <c r="B56" t="inlineStr">
        <is>
          <t>Sava Labs</t>
        </is>
      </c>
      <c r="C56" t="inlineStr">
        <is>
          <t>DACH</t>
        </is>
      </c>
      <c r="D56" t="inlineStr">
        <is>
          <t>Germany</t>
        </is>
      </c>
      <c r="E56" t="inlineStr">
        <is>
          <t>J. Weber</t>
        </is>
      </c>
      <c r="F56" t="inlineStr">
        <is>
          <t>Automotive &amp; C-V2X</t>
        </is>
      </c>
      <c r="G56" t="inlineStr">
        <is>
          <t>Smart module</t>
        </is>
      </c>
      <c r="H56" t="inlineStr">
        <is>
          <t>Mass production</t>
        </is>
      </c>
      <c r="I56" t="n">
        <v>1</v>
      </c>
      <c r="J56" t="n">
        <v>10000</v>
      </c>
      <c r="K56" t="n">
        <v>47.57</v>
      </c>
      <c r="L56" t="n">
        <v>5</v>
      </c>
      <c r="M56" t="n">
        <v>475700</v>
      </c>
      <c r="N56" t="n">
        <v>2378500</v>
      </c>
      <c r="O56" t="n">
        <v>2378500</v>
      </c>
      <c r="P56" t="inlineStr">
        <is>
          <t>2025-11-15</t>
        </is>
      </c>
      <c r="Q56" t="inlineStr">
        <is>
          <t>2026-09-11</t>
        </is>
      </c>
      <c r="R56" t="n">
        <v>21</v>
      </c>
      <c r="S56" t="inlineStr">
        <is>
          <t>Forecast confirmation</t>
        </is>
      </c>
      <c r="T56" t="inlineStr">
        <is>
          <t>Website</t>
        </is>
      </c>
      <c r="U56" t="inlineStr"/>
      <c r="V56">
        <f>IF(S56="",1,0)</f>
        <v/>
      </c>
      <c r="W56">
        <f>IF(J56="",1,0)</f>
        <v/>
      </c>
      <c r="X56">
        <f>IF(F56="",1,0)</f>
        <v/>
      </c>
      <c r="Y56">
        <f>IF(AND(AND(H56&lt;&gt;"Mass production",H56&lt;&gt;"Lost"),DATEVALUE(Q56)&lt;DATE(2026,10,20)),1,0)</f>
        <v/>
      </c>
      <c r="Z56">
        <f>IF(AND(AND(H56&lt;&gt;"Mass production",H56&lt;&gt;"Lost"),R56&gt;30),1,0)</f>
        <v/>
      </c>
      <c r="AA56">
        <f>IF(COUNTIFS($G$2:$G$247,G56,$F$2:$F$247,F56,$J$2:$J$247,J56,$K$2:$K$247,K56)&gt;1,1,0)</f>
        <v/>
      </c>
      <c r="AB56">
        <f>SUM(V56:AA56)</f>
        <v/>
      </c>
    </row>
    <row r="57">
      <c r="A57" t="inlineStr">
        <is>
          <t>OPP-26055</t>
        </is>
      </c>
      <c r="B57" t="inlineStr">
        <is>
          <t>Cedar Mobility</t>
        </is>
      </c>
      <c r="C57" t="inlineStr">
        <is>
          <t>Middle East &amp; Africa</t>
        </is>
      </c>
      <c r="D57" t="inlineStr">
        <is>
          <t>UAE</t>
        </is>
      </c>
      <c r="E57" t="inlineStr">
        <is>
          <t>O. Demir</t>
        </is>
      </c>
      <c r="F57" t="inlineStr">
        <is>
          <t>Healthcare</t>
        </is>
      </c>
      <c r="G57" t="inlineStr">
        <is>
          <t>Wi-Fi / Bluetooth</t>
        </is>
      </c>
      <c r="H57" t="inlineStr">
        <is>
          <t>Design-in</t>
        </is>
      </c>
      <c r="I57" t="n">
        <v>0.4</v>
      </c>
      <c r="J57" t="n">
        <v>50000</v>
      </c>
      <c r="K57" t="n">
        <v>4</v>
      </c>
      <c r="L57" t="n">
        <v>5</v>
      </c>
      <c r="M57" t="n">
        <v>200000</v>
      </c>
      <c r="N57" t="n">
        <v>1000000</v>
      </c>
      <c r="O57" t="n">
        <v>400000</v>
      </c>
      <c r="P57" t="inlineStr">
        <is>
          <t>2025-03-09</t>
        </is>
      </c>
      <c r="Q57" t="inlineStr">
        <is>
          <t>2026-09-23</t>
        </is>
      </c>
      <c r="R57" t="n">
        <v>9</v>
      </c>
      <c r="S57" t="inlineStr">
        <is>
          <t>Forecast confirmation</t>
        </is>
      </c>
      <c r="T57" t="inlineStr">
        <is>
          <t>Direct</t>
        </is>
      </c>
      <c r="U57" t="inlineStr"/>
      <c r="V57">
        <f>IF(S57="",1,0)</f>
        <v/>
      </c>
      <c r="W57">
        <f>IF(J57="",1,0)</f>
        <v/>
      </c>
      <c r="X57">
        <f>IF(F57="",1,0)</f>
        <v/>
      </c>
      <c r="Y57">
        <f>IF(AND(AND(H57&lt;&gt;"Mass production",H57&lt;&gt;"Lost"),DATEVALUE(Q57)&lt;DATE(2026,10,20)),1,0)</f>
        <v/>
      </c>
      <c r="Z57">
        <f>IF(AND(AND(H57&lt;&gt;"Mass production",H57&lt;&gt;"Lost"),R57&gt;30),1,0)</f>
        <v/>
      </c>
      <c r="AA57">
        <f>IF(COUNTIFS($G$2:$G$247,G57,$F$2:$F$247,F57,$J$2:$J$247,J57,$K$2:$K$247,K57)&gt;1,1,0)</f>
        <v/>
      </c>
      <c r="AB57">
        <f>SUM(V57:AA57)</f>
        <v/>
      </c>
    </row>
    <row r="58">
      <c r="A58" t="inlineStr">
        <is>
          <t>OPP-26056</t>
        </is>
      </c>
      <c r="B58" t="inlineStr">
        <is>
          <t>Bluecell Labs</t>
        </is>
      </c>
      <c r="C58" t="inlineStr">
        <is>
          <t>Southern Europe</t>
        </is>
      </c>
      <c r="D58" t="inlineStr">
        <is>
          <t>Portugal</t>
        </is>
      </c>
      <c r="E58" t="inlineStr">
        <is>
          <t>A. Garcia</t>
        </is>
      </c>
      <c r="F58" t="inlineStr">
        <is>
          <t>POS &amp; payments</t>
        </is>
      </c>
      <c r="G58" t="inlineStr">
        <is>
          <t>5G RedCap</t>
        </is>
      </c>
      <c r="H58" t="inlineStr">
        <is>
          <t>Design-win</t>
        </is>
      </c>
      <c r="I58" t="n">
        <v>0.7</v>
      </c>
      <c r="J58" t="n">
        <v>2000</v>
      </c>
      <c r="K58" t="n">
        <v>41.4</v>
      </c>
      <c r="L58" t="n">
        <v>2</v>
      </c>
      <c r="M58" t="n">
        <v>82800</v>
      </c>
      <c r="N58" t="n">
        <v>165600</v>
      </c>
      <c r="O58" t="n">
        <v>115920</v>
      </c>
      <c r="P58" t="inlineStr">
        <is>
          <t>2025-04-05</t>
        </is>
      </c>
      <c r="Q58" t="inlineStr">
        <is>
          <t>2026-12-29</t>
        </is>
      </c>
      <c r="R58" t="n">
        <v>6</v>
      </c>
      <c r="S58" t="inlineStr">
        <is>
          <t>Forecast confirmation</t>
        </is>
      </c>
      <c r="T58" t="inlineStr">
        <is>
          <t>Tradeshow</t>
        </is>
      </c>
      <c r="U58" t="inlineStr"/>
      <c r="V58">
        <f>IF(S58="",1,0)</f>
        <v/>
      </c>
      <c r="W58">
        <f>IF(J58="",1,0)</f>
        <v/>
      </c>
      <c r="X58">
        <f>IF(F58="",1,0)</f>
        <v/>
      </c>
      <c r="Y58">
        <f>IF(AND(AND(H58&lt;&gt;"Mass production",H58&lt;&gt;"Lost"),DATEVALUE(Q58)&lt;DATE(2026,10,20)),1,0)</f>
        <v/>
      </c>
      <c r="Z58">
        <f>IF(AND(AND(H58&lt;&gt;"Mass production",H58&lt;&gt;"Lost"),R58&gt;30),1,0)</f>
        <v/>
      </c>
      <c r="AA58">
        <f>IF(COUNTIFS($G$2:$G$247,G58,$F$2:$F$247,F58,$J$2:$J$247,J58,$K$2:$K$247,K58)&gt;1,1,0)</f>
        <v/>
      </c>
      <c r="AB58">
        <f>SUM(V58:AA58)</f>
        <v/>
      </c>
    </row>
    <row r="59">
      <c r="A59" t="inlineStr">
        <is>
          <t>OPP-26057</t>
        </is>
      </c>
      <c r="B59" t="inlineStr">
        <is>
          <t>Orbis Connect</t>
        </is>
      </c>
      <c r="C59" t="inlineStr">
        <is>
          <t>UK &amp; Ireland</t>
        </is>
      </c>
      <c r="D59" t="inlineStr">
        <is>
          <t>United Kingdom</t>
        </is>
      </c>
      <c r="E59" t="inlineStr">
        <is>
          <t>R. Patel</t>
        </is>
      </c>
      <c r="F59" t="inlineStr">
        <is>
          <t>POS &amp; payments</t>
        </is>
      </c>
      <c r="G59" t="inlineStr">
        <is>
          <t>5G eMBB</t>
        </is>
      </c>
      <c r="H59" t="inlineStr">
        <is>
          <t>Lost</t>
        </is>
      </c>
      <c r="I59" t="n">
        <v>0</v>
      </c>
      <c r="J59" t="n">
        <v>80000</v>
      </c>
      <c r="K59" t="n">
        <v>93.66</v>
      </c>
      <c r="L59" t="n">
        <v>2</v>
      </c>
      <c r="M59" t="n">
        <v>7492800</v>
      </c>
      <c r="N59" t="n">
        <v>14985600</v>
      </c>
      <c r="O59" t="n">
        <v>0</v>
      </c>
      <c r="P59" t="inlineStr">
        <is>
          <t>2026-07-09</t>
        </is>
      </c>
      <c r="Q59" t="inlineStr">
        <is>
          <t>2026-10-05</t>
        </is>
      </c>
      <c r="R59" t="n">
        <v>28</v>
      </c>
      <c r="S59" t="inlineStr">
        <is>
          <t>Certification plan</t>
        </is>
      </c>
      <c r="T59" t="inlineStr">
        <is>
          <t>Tradeshow</t>
        </is>
      </c>
      <c r="U59" t="inlineStr">
        <is>
          <t>Price</t>
        </is>
      </c>
      <c r="V59">
        <f>IF(S59="",1,0)</f>
        <v/>
      </c>
      <c r="W59">
        <f>IF(J59="",1,0)</f>
        <v/>
      </c>
      <c r="X59">
        <f>IF(F59="",1,0)</f>
        <v/>
      </c>
      <c r="Y59">
        <f>IF(AND(AND(H59&lt;&gt;"Mass production",H59&lt;&gt;"Lost"),DATEVALUE(Q59)&lt;DATE(2026,10,20)),1,0)</f>
        <v/>
      </c>
      <c r="Z59">
        <f>IF(AND(AND(H59&lt;&gt;"Mass production",H59&lt;&gt;"Lost"),R59&gt;30),1,0)</f>
        <v/>
      </c>
      <c r="AA59">
        <f>IF(COUNTIFS($G$2:$G$247,G59,$F$2:$F$247,F59,$J$2:$J$247,J59,$K$2:$K$247,K59)&gt;1,1,0)</f>
        <v/>
      </c>
      <c r="AB59">
        <f>SUM(V59:AA59)</f>
        <v/>
      </c>
    </row>
    <row r="60">
      <c r="A60" t="inlineStr">
        <is>
          <t>OPP-26058</t>
        </is>
      </c>
      <c r="B60" t="inlineStr">
        <is>
          <t>Zenit Devices</t>
        </is>
      </c>
      <c r="C60" t="inlineStr">
        <is>
          <t>Nordics</t>
        </is>
      </c>
      <c r="D60" t="inlineStr">
        <is>
          <t>Sweden</t>
        </is>
      </c>
      <c r="E60" t="inlineStr">
        <is>
          <t>E. Lindqvist</t>
        </is>
      </c>
      <c r="F60" t="inlineStr">
        <is>
          <t>Asset tracking</t>
        </is>
      </c>
      <c r="G60" t="inlineStr">
        <is>
          <t>Smart module</t>
        </is>
      </c>
      <c r="H60" t="inlineStr">
        <is>
          <t>Sample / Evaluation</t>
        </is>
      </c>
      <c r="I60" t="n">
        <v>0.2</v>
      </c>
      <c r="J60" t="inlineStr"/>
      <c r="K60" t="n">
        <v>74.66</v>
      </c>
      <c r="L60" t="n">
        <v>3</v>
      </c>
      <c r="M60" t="n">
        <v>0</v>
      </c>
      <c r="N60" t="n">
        <v>0</v>
      </c>
      <c r="O60" t="n">
        <v>0</v>
      </c>
      <c r="P60" t="inlineStr">
        <is>
          <t>2026-08-15</t>
        </is>
      </c>
      <c r="Q60" t="inlineStr">
        <is>
          <t>2026-12-31</t>
        </is>
      </c>
      <c r="R60" t="n">
        <v>6</v>
      </c>
      <c r="S60" t="inlineStr">
        <is>
          <t>Pilot build follow-up</t>
        </is>
      </c>
      <c r="T60" t="inlineStr">
        <is>
          <t>Direct</t>
        </is>
      </c>
      <c r="U60" t="inlineStr"/>
      <c r="V60">
        <f>IF(S60="",1,0)</f>
        <v/>
      </c>
      <c r="W60">
        <f>IF(J60="",1,0)</f>
        <v/>
      </c>
      <c r="X60">
        <f>IF(F60="",1,0)</f>
        <v/>
      </c>
      <c r="Y60">
        <f>IF(AND(AND(H60&lt;&gt;"Mass production",H60&lt;&gt;"Lost"),DATEVALUE(Q60)&lt;DATE(2026,10,20)),1,0)</f>
        <v/>
      </c>
      <c r="Z60">
        <f>IF(AND(AND(H60&lt;&gt;"Mass production",H60&lt;&gt;"Lost"),R60&gt;30),1,0)</f>
        <v/>
      </c>
      <c r="AA60">
        <f>IF(COUNTIFS($G$2:$G$247,G60,$F$2:$F$247,F60,$J$2:$J$247,J60,$K$2:$K$247,K60)&gt;1,1,0)</f>
        <v/>
      </c>
      <c r="AB60">
        <f>SUM(V60:AA60)</f>
        <v/>
      </c>
    </row>
    <row r="61">
      <c r="A61" t="inlineStr">
        <is>
          <t>OPP-26059</t>
        </is>
      </c>
      <c r="B61" t="inlineStr">
        <is>
          <t>Ferro Labs</t>
        </is>
      </c>
      <c r="C61" t="inlineStr">
        <is>
          <t>DACH</t>
        </is>
      </c>
      <c r="D61" t="inlineStr">
        <is>
          <t>Austria</t>
        </is>
      </c>
      <c r="E61" t="inlineStr">
        <is>
          <t>L. Hoffmann</t>
        </is>
      </c>
      <c r="F61" t="inlineStr">
        <is>
          <t>Automotive &amp; C-V2X</t>
        </is>
      </c>
      <c r="G61" t="inlineStr">
        <is>
          <t>5G eMBB</t>
        </is>
      </c>
      <c r="H61" t="inlineStr">
        <is>
          <t>Pilot</t>
        </is>
      </c>
      <c r="I61" t="n">
        <v>0.85</v>
      </c>
      <c r="J61" t="n">
        <v>50000</v>
      </c>
      <c r="K61" t="n">
        <v>92.11</v>
      </c>
      <c r="L61" t="n">
        <v>3</v>
      </c>
      <c r="M61" t="n">
        <v>4605500</v>
      </c>
      <c r="N61" t="n">
        <v>13816500</v>
      </c>
      <c r="O61" t="n">
        <v>11744025</v>
      </c>
      <c r="P61" t="inlineStr">
        <is>
          <t>2025-05-06</t>
        </is>
      </c>
      <c r="Q61" t="inlineStr">
        <is>
          <t>2027-03-10</t>
        </is>
      </c>
      <c r="R61" t="n">
        <v>1</v>
      </c>
      <c r="S61" t="inlineStr">
        <is>
          <t>Forecast confirmation</t>
        </is>
      </c>
      <c r="T61" t="inlineStr">
        <is>
          <t>Distributor</t>
        </is>
      </c>
      <c r="U61" t="inlineStr"/>
      <c r="V61">
        <f>IF(S61="",1,0)</f>
        <v/>
      </c>
      <c r="W61">
        <f>IF(J61="",1,0)</f>
        <v/>
      </c>
      <c r="X61">
        <f>IF(F61="",1,0)</f>
        <v/>
      </c>
      <c r="Y61">
        <f>IF(AND(AND(H61&lt;&gt;"Mass production",H61&lt;&gt;"Lost"),DATEVALUE(Q61)&lt;DATE(2026,10,20)),1,0)</f>
        <v/>
      </c>
      <c r="Z61">
        <f>IF(AND(AND(H61&lt;&gt;"Mass production",H61&lt;&gt;"Lost"),R61&gt;30),1,0)</f>
        <v/>
      </c>
      <c r="AA61">
        <f>IF(COUNTIFS($G$2:$G$247,G61,$F$2:$F$247,F61,$J$2:$J$247,J61,$K$2:$K$247,K61)&gt;1,1,0)</f>
        <v/>
      </c>
      <c r="AB61">
        <f>SUM(V61:AA61)</f>
        <v/>
      </c>
    </row>
    <row r="62">
      <c r="A62" t="inlineStr">
        <is>
          <t>OPP-26060</t>
        </is>
      </c>
      <c r="B62" t="inlineStr">
        <is>
          <t>Stellar Labs</t>
        </is>
      </c>
      <c r="C62" t="inlineStr">
        <is>
          <t>DACH</t>
        </is>
      </c>
      <c r="D62" t="inlineStr">
        <is>
          <t>Austria</t>
        </is>
      </c>
      <c r="E62" t="inlineStr">
        <is>
          <t>J. Weber</t>
        </is>
      </c>
      <c r="F62" t="inlineStr">
        <is>
          <t>Industrial IoT</t>
        </is>
      </c>
      <c r="G62" t="inlineStr">
        <is>
          <t>LTE Cat 1 bis</t>
        </is>
      </c>
      <c r="H62" t="inlineStr">
        <is>
          <t>Design-win</t>
        </is>
      </c>
      <c r="I62" t="n">
        <v>0.7</v>
      </c>
      <c r="J62" t="n">
        <v>2000</v>
      </c>
      <c r="K62" t="n">
        <v>7.9</v>
      </c>
      <c r="L62" t="n">
        <v>3</v>
      </c>
      <c r="M62" t="n">
        <v>15800</v>
      </c>
      <c r="N62" t="n">
        <v>47400</v>
      </c>
      <c r="O62" t="n">
        <v>33180</v>
      </c>
      <c r="P62" t="inlineStr">
        <is>
          <t>2026-04-08</t>
        </is>
      </c>
      <c r="Q62" t="inlineStr">
        <is>
          <t>2027-05-03</t>
        </is>
      </c>
      <c r="R62" t="n">
        <v>13</v>
      </c>
      <c r="S62" t="inlineStr">
        <is>
          <t>Design review</t>
        </is>
      </c>
      <c r="T62" t="inlineStr">
        <is>
          <t>Distributor</t>
        </is>
      </c>
      <c r="U62" t="inlineStr"/>
      <c r="V62">
        <f>IF(S62="",1,0)</f>
        <v/>
      </c>
      <c r="W62">
        <f>IF(J62="",1,0)</f>
        <v/>
      </c>
      <c r="X62">
        <f>IF(F62="",1,0)</f>
        <v/>
      </c>
      <c r="Y62">
        <f>IF(AND(AND(H62&lt;&gt;"Mass production",H62&lt;&gt;"Lost"),DATEVALUE(Q62)&lt;DATE(2026,10,20)),1,0)</f>
        <v/>
      </c>
      <c r="Z62">
        <f>IF(AND(AND(H62&lt;&gt;"Mass production",H62&lt;&gt;"Lost"),R62&gt;30),1,0)</f>
        <v/>
      </c>
      <c r="AA62">
        <f>IF(COUNTIFS($G$2:$G$247,G62,$F$2:$F$247,F62,$J$2:$J$247,J62,$K$2:$K$247,K62)&gt;1,1,0)</f>
        <v/>
      </c>
      <c r="AB62">
        <f>SUM(V62:AA62)</f>
        <v/>
      </c>
    </row>
    <row r="63">
      <c r="A63" t="inlineStr">
        <is>
          <t>OPP-26061</t>
        </is>
      </c>
      <c r="B63" t="inlineStr">
        <is>
          <t>Nordwind Telematics</t>
        </is>
      </c>
      <c r="C63" t="inlineStr">
        <is>
          <t>Nordics</t>
        </is>
      </c>
      <c r="D63" t="inlineStr">
        <is>
          <t>Sweden</t>
        </is>
      </c>
      <c r="E63" t="inlineStr">
        <is>
          <t>E. Lindqvist</t>
        </is>
      </c>
      <c r="F63" t="inlineStr">
        <is>
          <t>Industrial IoT</t>
        </is>
      </c>
      <c r="G63" t="inlineStr">
        <is>
          <t>Smart module</t>
        </is>
      </c>
      <c r="H63" t="inlineStr">
        <is>
          <t>Mass production</t>
        </is>
      </c>
      <c r="I63" t="n">
        <v>1</v>
      </c>
      <c r="J63" t="n">
        <v>15000</v>
      </c>
      <c r="K63" t="n">
        <v>61.98</v>
      </c>
      <c r="L63" t="n">
        <v>3</v>
      </c>
      <c r="M63" t="n">
        <v>929700</v>
      </c>
      <c r="N63" t="n">
        <v>2789100</v>
      </c>
      <c r="O63" t="n">
        <v>2789100</v>
      </c>
      <c r="P63" t="inlineStr">
        <is>
          <t>2026-07-14</t>
        </is>
      </c>
      <c r="Q63" t="inlineStr">
        <is>
          <t>2026-09-29</t>
        </is>
      </c>
      <c r="R63" t="n">
        <v>1</v>
      </c>
      <c r="S63" t="inlineStr">
        <is>
          <t>Technical review call</t>
        </is>
      </c>
      <c r="T63" t="inlineStr">
        <is>
          <t>Direct</t>
        </is>
      </c>
      <c r="U63" t="inlineStr"/>
      <c r="V63">
        <f>IF(S63="",1,0)</f>
        <v/>
      </c>
      <c r="W63">
        <f>IF(J63="",1,0)</f>
        <v/>
      </c>
      <c r="X63">
        <f>IF(F63="",1,0)</f>
        <v/>
      </c>
      <c r="Y63">
        <f>IF(AND(AND(H63&lt;&gt;"Mass production",H63&lt;&gt;"Lost"),DATEVALUE(Q63)&lt;DATE(2026,10,20)),1,0)</f>
        <v/>
      </c>
      <c r="Z63">
        <f>IF(AND(AND(H63&lt;&gt;"Mass production",H63&lt;&gt;"Lost"),R63&gt;30),1,0)</f>
        <v/>
      </c>
      <c r="AA63">
        <f>IF(COUNTIFS($G$2:$G$247,G63,$F$2:$F$247,F63,$J$2:$J$247,J63,$K$2:$K$247,K63)&gt;1,1,0)</f>
        <v/>
      </c>
      <c r="AB63">
        <f>SUM(V63:AA63)</f>
        <v/>
      </c>
    </row>
    <row r="64">
      <c r="A64" t="inlineStr">
        <is>
          <t>OPP-26062</t>
        </is>
      </c>
      <c r="B64" t="inlineStr">
        <is>
          <t>Baltix Telematics</t>
        </is>
      </c>
      <c r="C64" t="inlineStr">
        <is>
          <t>DACH</t>
        </is>
      </c>
      <c r="D64" t="inlineStr">
        <is>
          <t>Germany</t>
        </is>
      </c>
      <c r="E64" t="inlineStr">
        <is>
          <t>L. Hoffmann</t>
        </is>
      </c>
      <c r="F64" t="inlineStr">
        <is>
          <t>Healthcare</t>
        </is>
      </c>
      <c r="G64" t="inlineStr">
        <is>
          <t>Wi-Fi / Bluetooth</t>
        </is>
      </c>
      <c r="H64" t="inlineStr">
        <is>
          <t>Qualified</t>
        </is>
      </c>
      <c r="I64" t="n">
        <v>0.1</v>
      </c>
      <c r="J64" t="n">
        <v>5000</v>
      </c>
      <c r="K64" t="n">
        <v>4.79</v>
      </c>
      <c r="L64" t="n">
        <v>4</v>
      </c>
      <c r="M64" t="n">
        <v>23950</v>
      </c>
      <c r="N64" t="n">
        <v>95800</v>
      </c>
      <c r="O64" t="n">
        <v>9580</v>
      </c>
      <c r="P64" t="inlineStr">
        <is>
          <t>2025-06-12</t>
        </is>
      </c>
      <c r="Q64" t="inlineStr">
        <is>
          <t>2027-10-01</t>
        </is>
      </c>
      <c r="R64" t="n">
        <v>118</v>
      </c>
      <c r="S64" t="inlineStr">
        <is>
          <t>Quote revision</t>
        </is>
      </c>
      <c r="T64" t="inlineStr">
        <is>
          <t>Distributor</t>
        </is>
      </c>
      <c r="U64" t="inlineStr"/>
      <c r="V64">
        <f>IF(S64="",1,0)</f>
        <v/>
      </c>
      <c r="W64">
        <f>IF(J64="",1,0)</f>
        <v/>
      </c>
      <c r="X64">
        <f>IF(F64="",1,0)</f>
        <v/>
      </c>
      <c r="Y64">
        <f>IF(AND(AND(H64&lt;&gt;"Mass production",H64&lt;&gt;"Lost"),DATEVALUE(Q64)&lt;DATE(2026,10,20)),1,0)</f>
        <v/>
      </c>
      <c r="Z64">
        <f>IF(AND(AND(H64&lt;&gt;"Mass production",H64&lt;&gt;"Lost"),R64&gt;30),1,0)</f>
        <v/>
      </c>
      <c r="AA64">
        <f>IF(COUNTIFS($G$2:$G$247,G64,$F$2:$F$247,F64,$J$2:$J$247,J64,$K$2:$K$247,K64)&gt;1,1,0)</f>
        <v/>
      </c>
      <c r="AB64">
        <f>SUM(V64:AA64)</f>
        <v/>
      </c>
    </row>
    <row r="65">
      <c r="A65" t="inlineStr">
        <is>
          <t>OPP-26063</t>
        </is>
      </c>
      <c r="B65" t="inlineStr">
        <is>
          <t>Iberix Metering</t>
        </is>
      </c>
      <c r="C65" t="inlineStr">
        <is>
          <t>Southern Europe</t>
        </is>
      </c>
      <c r="D65" t="inlineStr">
        <is>
          <t>Portugal</t>
        </is>
      </c>
      <c r="E65" t="inlineStr">
        <is>
          <t>A. Garcia</t>
        </is>
      </c>
      <c r="F65" t="inlineStr">
        <is>
          <t>Automotive &amp; C-V2X</t>
        </is>
      </c>
      <c r="G65" t="inlineStr">
        <is>
          <t>LTE Cat 1 bis</t>
        </is>
      </c>
      <c r="H65" t="inlineStr">
        <is>
          <t>Sample / Evaluation</t>
        </is>
      </c>
      <c r="I65" t="n">
        <v>0.2</v>
      </c>
      <c r="J65" t="n">
        <v>15000</v>
      </c>
      <c r="K65" t="n">
        <v>9.57</v>
      </c>
      <c r="L65" t="n">
        <v>5</v>
      </c>
      <c r="M65" t="n">
        <v>143550</v>
      </c>
      <c r="N65" t="n">
        <v>717750</v>
      </c>
      <c r="O65" t="n">
        <v>143550</v>
      </c>
      <c r="P65" t="inlineStr">
        <is>
          <t>2026-07-17</t>
        </is>
      </c>
      <c r="Q65" t="inlineStr">
        <is>
          <t>2027-02-15</t>
        </is>
      </c>
      <c r="R65" t="n">
        <v>7</v>
      </c>
      <c r="S65" t="inlineStr">
        <is>
          <t>Technical review call</t>
        </is>
      </c>
      <c r="T65" t="inlineStr">
        <is>
          <t>Tradeshow</t>
        </is>
      </c>
      <c r="U65" t="inlineStr"/>
      <c r="V65">
        <f>IF(S65="",1,0)</f>
        <v/>
      </c>
      <c r="W65">
        <f>IF(J65="",1,0)</f>
        <v/>
      </c>
      <c r="X65">
        <f>IF(F65="",1,0)</f>
        <v/>
      </c>
      <c r="Y65">
        <f>IF(AND(AND(H65&lt;&gt;"Mass production",H65&lt;&gt;"Lost"),DATEVALUE(Q65)&lt;DATE(2026,10,20)),1,0)</f>
        <v/>
      </c>
      <c r="Z65">
        <f>IF(AND(AND(H65&lt;&gt;"Mass production",H65&lt;&gt;"Lost"),R65&gt;30),1,0)</f>
        <v/>
      </c>
      <c r="AA65">
        <f>IF(COUNTIFS($G$2:$G$247,G65,$F$2:$F$247,F65,$J$2:$J$247,J65,$K$2:$K$247,K65)&gt;1,1,0)</f>
        <v/>
      </c>
      <c r="AB65">
        <f>SUM(V65:AA65)</f>
        <v/>
      </c>
    </row>
    <row r="66">
      <c r="A66" t="inlineStr">
        <is>
          <t>OPP-26064</t>
        </is>
      </c>
      <c r="B66" t="inlineStr">
        <is>
          <t>Pannon Devices</t>
        </is>
      </c>
      <c r="C66" t="inlineStr">
        <is>
          <t>CEE</t>
        </is>
      </c>
      <c r="D66" t="inlineStr">
        <is>
          <t>Poland</t>
        </is>
      </c>
      <c r="E66" t="inlineStr">
        <is>
          <t>K. Nowak</t>
        </is>
      </c>
      <c r="F66" t="inlineStr">
        <is>
          <t>Telematics</t>
        </is>
      </c>
      <c r="G66" t="inlineStr">
        <is>
          <t>Wi-Fi / Bluetooth</t>
        </is>
      </c>
      <c r="H66" t="inlineStr">
        <is>
          <t>Design-win</t>
        </is>
      </c>
      <c r="I66" t="n">
        <v>0.7</v>
      </c>
      <c r="J66" t="n">
        <v>2000</v>
      </c>
      <c r="K66" t="n">
        <v>5.09</v>
      </c>
      <c r="L66" t="n">
        <v>4</v>
      </c>
      <c r="M66" t="n">
        <v>10180</v>
      </c>
      <c r="N66" t="n">
        <v>40720</v>
      </c>
      <c r="O66" t="n">
        <v>28504</v>
      </c>
      <c r="P66" t="inlineStr">
        <is>
          <t>2025-02-22</t>
        </is>
      </c>
      <c r="Q66" t="inlineStr">
        <is>
          <t>2026-12-15</t>
        </is>
      </c>
      <c r="R66" t="n">
        <v>5</v>
      </c>
      <c r="S66" t="inlineStr">
        <is>
          <t>Technical review call</t>
        </is>
      </c>
      <c r="T66" t="inlineStr">
        <is>
          <t>Website</t>
        </is>
      </c>
      <c r="U66" t="inlineStr"/>
      <c r="V66">
        <f>IF(S66="",1,0)</f>
        <v/>
      </c>
      <c r="W66">
        <f>IF(J66="",1,0)</f>
        <v/>
      </c>
      <c r="X66">
        <f>IF(F66="",1,0)</f>
        <v/>
      </c>
      <c r="Y66">
        <f>IF(AND(AND(H66&lt;&gt;"Mass production",H66&lt;&gt;"Lost"),DATEVALUE(Q66)&lt;DATE(2026,10,20)),1,0)</f>
        <v/>
      </c>
      <c r="Z66">
        <f>IF(AND(AND(H66&lt;&gt;"Mass production",H66&lt;&gt;"Lost"),R66&gt;30),1,0)</f>
        <v/>
      </c>
      <c r="AA66">
        <f>IF(COUNTIFS($G$2:$G$247,G66,$F$2:$F$247,F66,$J$2:$J$247,J66,$K$2:$K$247,K66)&gt;1,1,0)</f>
        <v/>
      </c>
      <c r="AB66">
        <f>SUM(V66:AA66)</f>
        <v/>
      </c>
    </row>
    <row r="67">
      <c r="A67" t="inlineStr">
        <is>
          <t>OPP-26065</t>
        </is>
      </c>
      <c r="B67" t="inlineStr">
        <is>
          <t>Orbis Metering</t>
        </is>
      </c>
      <c r="C67" t="inlineStr">
        <is>
          <t>CEE</t>
        </is>
      </c>
      <c r="D67" t="inlineStr">
        <is>
          <t>Czechia</t>
        </is>
      </c>
      <c r="E67" t="inlineStr">
        <is>
          <t>D. Jovanovic</t>
        </is>
      </c>
      <c r="F67" t="inlineStr">
        <is>
          <t>Smart home &amp; security</t>
        </is>
      </c>
      <c r="G67" t="inlineStr">
        <is>
          <t>Smart module</t>
        </is>
      </c>
      <c r="H67" t="inlineStr">
        <is>
          <t>Lead</t>
        </is>
      </c>
      <c r="I67" t="n">
        <v>0.05</v>
      </c>
      <c r="J67" t="n">
        <v>8000</v>
      </c>
      <c r="K67" t="n">
        <v>53.63</v>
      </c>
      <c r="L67" t="n">
        <v>4</v>
      </c>
      <c r="M67" t="n">
        <v>429040</v>
      </c>
      <c r="N67" t="n">
        <v>1716160</v>
      </c>
      <c r="O67" t="n">
        <v>85808</v>
      </c>
      <c r="P67" t="inlineStr">
        <is>
          <t>2025-07-08</t>
        </is>
      </c>
      <c r="Q67" t="inlineStr">
        <is>
          <t>2027-06-05</t>
        </is>
      </c>
      <c r="R67" t="n">
        <v>8</v>
      </c>
      <c r="S67" t="inlineStr">
        <is>
          <t>Design review</t>
        </is>
      </c>
      <c r="T67" t="inlineStr">
        <is>
          <t>Tradeshow</t>
        </is>
      </c>
      <c r="U67" t="inlineStr"/>
      <c r="V67">
        <f>IF(S67="",1,0)</f>
        <v/>
      </c>
      <c r="W67">
        <f>IF(J67="",1,0)</f>
        <v/>
      </c>
      <c r="X67">
        <f>IF(F67="",1,0)</f>
        <v/>
      </c>
      <c r="Y67">
        <f>IF(AND(AND(H67&lt;&gt;"Mass production",H67&lt;&gt;"Lost"),DATEVALUE(Q67)&lt;DATE(2026,10,20)),1,0)</f>
        <v/>
      </c>
      <c r="Z67">
        <f>IF(AND(AND(H67&lt;&gt;"Mass production",H67&lt;&gt;"Lost"),R67&gt;30),1,0)</f>
        <v/>
      </c>
      <c r="AA67">
        <f>IF(COUNTIFS($G$2:$G$247,G67,$F$2:$F$247,F67,$J$2:$J$247,J67,$K$2:$K$247,K67)&gt;1,1,0)</f>
        <v/>
      </c>
      <c r="AB67">
        <f>SUM(V67:AA67)</f>
        <v/>
      </c>
    </row>
    <row r="68">
      <c r="A68" t="inlineStr">
        <is>
          <t>OPP-26066</t>
        </is>
      </c>
      <c r="B68" t="inlineStr">
        <is>
          <t>Arcturus Industrial</t>
        </is>
      </c>
      <c r="C68" t="inlineStr">
        <is>
          <t>Southern Europe</t>
        </is>
      </c>
      <c r="D68" t="inlineStr">
        <is>
          <t>Italy</t>
        </is>
      </c>
      <c r="E68" t="inlineStr">
        <is>
          <t>M. Rossi</t>
        </is>
      </c>
      <c r="F68" t="inlineStr">
        <is>
          <t>Healthcare</t>
        </is>
      </c>
      <c r="G68" t="inlineStr">
        <is>
          <t>Smart module</t>
        </is>
      </c>
      <c r="H68" t="inlineStr">
        <is>
          <t>Mass production</t>
        </is>
      </c>
      <c r="I68" t="n">
        <v>1</v>
      </c>
      <c r="J68" t="n">
        <v>15000</v>
      </c>
      <c r="K68" t="n">
        <v>61.73</v>
      </c>
      <c r="L68" t="n">
        <v>2</v>
      </c>
      <c r="M68" t="n">
        <v>925950</v>
      </c>
      <c r="N68" t="n">
        <v>1851900</v>
      </c>
      <c r="O68" t="n">
        <v>1851900</v>
      </c>
      <c r="P68" t="inlineStr">
        <is>
          <t>2025-03-08</t>
        </is>
      </c>
      <c r="Q68" t="inlineStr">
        <is>
          <t>2026-01-19</t>
        </is>
      </c>
      <c r="R68" t="n">
        <v>4</v>
      </c>
      <c r="S68" t="inlineStr">
        <is>
          <t>Pilot build follow-up</t>
        </is>
      </c>
      <c r="T68" t="inlineStr">
        <is>
          <t>FAE referral</t>
        </is>
      </c>
      <c r="U68" t="inlineStr"/>
      <c r="V68">
        <f>IF(S68="",1,0)</f>
        <v/>
      </c>
      <c r="W68">
        <f>IF(J68="",1,0)</f>
        <v/>
      </c>
      <c r="X68">
        <f>IF(F68="",1,0)</f>
        <v/>
      </c>
      <c r="Y68">
        <f>IF(AND(AND(H68&lt;&gt;"Mass production",H68&lt;&gt;"Lost"),DATEVALUE(Q68)&lt;DATE(2026,10,20)),1,0)</f>
        <v/>
      </c>
      <c r="Z68">
        <f>IF(AND(AND(H68&lt;&gt;"Mass production",H68&lt;&gt;"Lost"),R68&gt;30),1,0)</f>
        <v/>
      </c>
      <c r="AA68">
        <f>IF(COUNTIFS($G$2:$G$247,G68,$F$2:$F$247,F68,$J$2:$J$247,J68,$K$2:$K$247,K68)&gt;1,1,0)</f>
        <v/>
      </c>
      <c r="AB68">
        <f>SUM(V68:AA68)</f>
        <v/>
      </c>
    </row>
    <row r="69">
      <c r="A69" t="inlineStr">
        <is>
          <t>OPP-26067</t>
        </is>
      </c>
      <c r="B69" t="inlineStr">
        <is>
          <t>Nordwind Telematics</t>
        </is>
      </c>
      <c r="C69" t="inlineStr">
        <is>
          <t>Nordics</t>
        </is>
      </c>
      <c r="D69" t="inlineStr">
        <is>
          <t>Sweden</t>
        </is>
      </c>
      <c r="E69" t="inlineStr">
        <is>
          <t>E. Lindqvist</t>
        </is>
      </c>
      <c r="F69" t="inlineStr">
        <is>
          <t>Smart home &amp; security</t>
        </is>
      </c>
      <c r="G69" t="inlineStr">
        <is>
          <t>Smart module</t>
        </is>
      </c>
      <c r="H69" t="inlineStr">
        <is>
          <t>Qualified</t>
        </is>
      </c>
      <c r="I69" t="n">
        <v>0.1</v>
      </c>
      <c r="J69" t="n">
        <v>10000</v>
      </c>
      <c r="K69" t="n">
        <v>91.90000000000001</v>
      </c>
      <c r="L69" t="n">
        <v>5</v>
      </c>
      <c r="M69" t="n">
        <v>919000</v>
      </c>
      <c r="N69" t="n">
        <v>4595000</v>
      </c>
      <c r="O69" t="n">
        <v>459500</v>
      </c>
      <c r="P69" t="inlineStr">
        <is>
          <t>2025-09-10</t>
        </is>
      </c>
      <c r="Q69" t="inlineStr">
        <is>
          <t>2027-08-05</t>
        </is>
      </c>
      <c r="R69" t="n">
        <v>25</v>
      </c>
      <c r="S69" t="inlineStr">
        <is>
          <t>Forecast confirmation</t>
        </is>
      </c>
      <c r="T69" t="inlineStr">
        <is>
          <t>Direct</t>
        </is>
      </c>
      <c r="U69" t="inlineStr"/>
      <c r="V69">
        <f>IF(S69="",1,0)</f>
        <v/>
      </c>
      <c r="W69">
        <f>IF(J69="",1,0)</f>
        <v/>
      </c>
      <c r="X69">
        <f>IF(F69="",1,0)</f>
        <v/>
      </c>
      <c r="Y69">
        <f>IF(AND(AND(H69&lt;&gt;"Mass production",H69&lt;&gt;"Lost"),DATEVALUE(Q69)&lt;DATE(2026,10,20)),1,0)</f>
        <v/>
      </c>
      <c r="Z69">
        <f>IF(AND(AND(H69&lt;&gt;"Mass production",H69&lt;&gt;"Lost"),R69&gt;30),1,0)</f>
        <v/>
      </c>
      <c r="AA69">
        <f>IF(COUNTIFS($G$2:$G$247,G69,$F$2:$F$247,F69,$J$2:$J$247,J69,$K$2:$K$247,K69)&gt;1,1,0)</f>
        <v/>
      </c>
      <c r="AB69">
        <f>SUM(V69:AA69)</f>
        <v/>
      </c>
    </row>
    <row r="70">
      <c r="A70" t="inlineStr">
        <is>
          <t>OPP-26068</t>
        </is>
      </c>
      <c r="B70" t="inlineStr">
        <is>
          <t>Orbis Devices</t>
        </is>
      </c>
      <c r="C70" t="inlineStr">
        <is>
          <t>Middle East &amp; Africa</t>
        </is>
      </c>
      <c r="D70" t="inlineStr">
        <is>
          <t>UAE</t>
        </is>
      </c>
      <c r="E70" t="inlineStr">
        <is>
          <t>Y. Cohen</t>
        </is>
      </c>
      <c r="F70" t="inlineStr">
        <is>
          <t>Healthcare</t>
        </is>
      </c>
      <c r="G70" t="inlineStr">
        <is>
          <t>Wi-Fi / Bluetooth</t>
        </is>
      </c>
      <c r="H70" t="inlineStr">
        <is>
          <t>Sample / Evaluation</t>
        </is>
      </c>
      <c r="I70" t="n">
        <v>0.2</v>
      </c>
      <c r="J70" t="n">
        <v>8000</v>
      </c>
      <c r="K70" t="n">
        <v>4.2</v>
      </c>
      <c r="L70" t="n">
        <v>3</v>
      </c>
      <c r="M70" t="n">
        <v>33600</v>
      </c>
      <c r="N70" t="n">
        <v>100800</v>
      </c>
      <c r="O70" t="n">
        <v>20160</v>
      </c>
      <c r="P70" t="inlineStr">
        <is>
          <t>2026-04-25</t>
        </is>
      </c>
      <c r="Q70" t="inlineStr">
        <is>
          <t>2026-09-17</t>
        </is>
      </c>
      <c r="R70" t="n">
        <v>18</v>
      </c>
      <c r="S70" t="inlineStr">
        <is>
          <t>Quote revision</t>
        </is>
      </c>
      <c r="T70" t="inlineStr">
        <is>
          <t>Distributor</t>
        </is>
      </c>
      <c r="U70" t="inlineStr"/>
      <c r="V70">
        <f>IF(S70="",1,0)</f>
        <v/>
      </c>
      <c r="W70">
        <f>IF(J70="",1,0)</f>
        <v/>
      </c>
      <c r="X70">
        <f>IF(F70="",1,0)</f>
        <v/>
      </c>
      <c r="Y70">
        <f>IF(AND(AND(H70&lt;&gt;"Mass production",H70&lt;&gt;"Lost"),DATEVALUE(Q70)&lt;DATE(2026,10,20)),1,0)</f>
        <v/>
      </c>
      <c r="Z70">
        <f>IF(AND(AND(H70&lt;&gt;"Mass production",H70&lt;&gt;"Lost"),R70&gt;30),1,0)</f>
        <v/>
      </c>
      <c r="AA70">
        <f>IF(COUNTIFS($G$2:$G$247,G70,$F$2:$F$247,F70,$J$2:$J$247,J70,$K$2:$K$247,K70)&gt;1,1,0)</f>
        <v/>
      </c>
      <c r="AB70">
        <f>SUM(V70:AA70)</f>
        <v/>
      </c>
    </row>
    <row r="71">
      <c r="A71" t="inlineStr">
        <is>
          <t>OPP-26069</t>
        </is>
      </c>
      <c r="B71" t="inlineStr">
        <is>
          <t>Corvid Health</t>
        </is>
      </c>
      <c r="C71" t="inlineStr">
        <is>
          <t>DACH</t>
        </is>
      </c>
      <c r="D71" t="inlineStr">
        <is>
          <t>Germany</t>
        </is>
      </c>
      <c r="E71" t="inlineStr">
        <is>
          <t>L. Hoffmann</t>
        </is>
      </c>
      <c r="F71" t="inlineStr">
        <is>
          <t>Industrial IoT</t>
        </is>
      </c>
      <c r="G71" t="inlineStr">
        <is>
          <t>Wi-Fi / Bluetooth</t>
        </is>
      </c>
      <c r="H71" t="inlineStr">
        <is>
          <t>Mass production</t>
        </is>
      </c>
      <c r="I71" t="n">
        <v>1</v>
      </c>
      <c r="J71" t="n">
        <v>30000</v>
      </c>
      <c r="K71" t="n">
        <v>5.66</v>
      </c>
      <c r="L71" t="n">
        <v>2</v>
      </c>
      <c r="M71" t="n">
        <v>169800</v>
      </c>
      <c r="N71" t="n">
        <v>339600</v>
      </c>
      <c r="O71" t="n">
        <v>339600</v>
      </c>
      <c r="P71" t="inlineStr">
        <is>
          <t>2025-08-06</t>
        </is>
      </c>
      <c r="Q71" t="inlineStr">
        <is>
          <t>2026-06-08</t>
        </is>
      </c>
      <c r="R71" t="n">
        <v>22</v>
      </c>
      <c r="S71" t="inlineStr">
        <is>
          <t>Certification plan</t>
        </is>
      </c>
      <c r="T71" t="inlineStr">
        <is>
          <t>Direct</t>
        </is>
      </c>
      <c r="U71" t="inlineStr"/>
      <c r="V71">
        <f>IF(S71="",1,0)</f>
        <v/>
      </c>
      <c r="W71">
        <f>IF(J71="",1,0)</f>
        <v/>
      </c>
      <c r="X71">
        <f>IF(F71="",1,0)</f>
        <v/>
      </c>
      <c r="Y71">
        <f>IF(AND(AND(H71&lt;&gt;"Mass production",H71&lt;&gt;"Lost"),DATEVALUE(Q71)&lt;DATE(2026,10,20)),1,0)</f>
        <v/>
      </c>
      <c r="Z71">
        <f>IF(AND(AND(H71&lt;&gt;"Mass production",H71&lt;&gt;"Lost"),R71&gt;30),1,0)</f>
        <v/>
      </c>
      <c r="AA71">
        <f>IF(COUNTIFS($G$2:$G$247,G71,$F$2:$F$247,F71,$J$2:$J$247,J71,$K$2:$K$247,K71)&gt;1,1,0)</f>
        <v/>
      </c>
      <c r="AB71">
        <f>SUM(V71:AA71)</f>
        <v/>
      </c>
    </row>
    <row r="72">
      <c r="A72" t="inlineStr">
        <is>
          <t>OPP-26070</t>
        </is>
      </c>
      <c r="B72" t="inlineStr">
        <is>
          <t>Meridian Metering</t>
        </is>
      </c>
      <c r="C72" t="inlineStr">
        <is>
          <t>Southern Europe</t>
        </is>
      </c>
      <c r="D72" t="inlineStr">
        <is>
          <t>Portugal</t>
        </is>
      </c>
      <c r="E72" t="inlineStr">
        <is>
          <t>M. Rossi</t>
        </is>
      </c>
      <c r="F72" t="inlineStr">
        <is>
          <t>POS &amp; payments</t>
        </is>
      </c>
      <c r="G72" t="inlineStr">
        <is>
          <t>5G eMBB</t>
        </is>
      </c>
      <c r="H72" t="inlineStr">
        <is>
          <t>Lost</t>
        </is>
      </c>
      <c r="I72" t="n">
        <v>0</v>
      </c>
      <c r="J72" t="n">
        <v>80000</v>
      </c>
      <c r="K72" t="n">
        <v>105.23</v>
      </c>
      <c r="L72" t="n">
        <v>4</v>
      </c>
      <c r="M72" t="n">
        <v>8418400</v>
      </c>
      <c r="N72" t="n">
        <v>33673600</v>
      </c>
      <c r="O72" t="n">
        <v>0</v>
      </c>
      <c r="P72" t="inlineStr">
        <is>
          <t>2025-06-15</t>
        </is>
      </c>
      <c r="Q72" t="inlineStr">
        <is>
          <t>2026-03-06</t>
        </is>
      </c>
      <c r="R72" t="n">
        <v>28</v>
      </c>
      <c r="S72" t="inlineStr">
        <is>
          <t>Send samples</t>
        </is>
      </c>
      <c r="T72" t="inlineStr">
        <is>
          <t>Tradeshow</t>
        </is>
      </c>
      <c r="U72" t="inlineStr">
        <is>
          <t>Project cancelled</t>
        </is>
      </c>
      <c r="V72">
        <f>IF(S72="",1,0)</f>
        <v/>
      </c>
      <c r="W72">
        <f>IF(J72="",1,0)</f>
        <v/>
      </c>
      <c r="X72">
        <f>IF(F72="",1,0)</f>
        <v/>
      </c>
      <c r="Y72">
        <f>IF(AND(AND(H72&lt;&gt;"Mass production",H72&lt;&gt;"Lost"),DATEVALUE(Q72)&lt;DATE(2026,10,20)),1,0)</f>
        <v/>
      </c>
      <c r="Z72">
        <f>IF(AND(AND(H72&lt;&gt;"Mass production",H72&lt;&gt;"Lost"),R72&gt;30),1,0)</f>
        <v/>
      </c>
      <c r="AA72">
        <f>IF(COUNTIFS($G$2:$G$247,G72,$F$2:$F$247,F72,$J$2:$J$247,J72,$K$2:$K$247,K72)&gt;1,1,0)</f>
        <v/>
      </c>
      <c r="AB72">
        <f>SUM(V72:AA72)</f>
        <v/>
      </c>
    </row>
    <row r="73">
      <c r="A73" t="inlineStr">
        <is>
          <t>OPP-26071</t>
        </is>
      </c>
      <c r="B73" t="inlineStr">
        <is>
          <t>Baltix Devices</t>
        </is>
      </c>
      <c r="C73" t="inlineStr">
        <is>
          <t>Nordics</t>
        </is>
      </c>
      <c r="D73" t="inlineStr">
        <is>
          <t>Sweden</t>
        </is>
      </c>
      <c r="E73" t="inlineStr">
        <is>
          <t>E. Lindqvist</t>
        </is>
      </c>
      <c r="F73" t="inlineStr">
        <is>
          <t>Telematics</t>
        </is>
      </c>
      <c r="G73" t="inlineStr">
        <is>
          <t>GNSS</t>
        </is>
      </c>
      <c r="H73" t="inlineStr">
        <is>
          <t>Pilot</t>
        </is>
      </c>
      <c r="I73" t="n">
        <v>0.85</v>
      </c>
      <c r="J73" t="n">
        <v>10000</v>
      </c>
      <c r="K73" t="n">
        <v>8.18</v>
      </c>
      <c r="L73" t="n">
        <v>2</v>
      </c>
      <c r="M73" t="n">
        <v>81800</v>
      </c>
      <c r="N73" t="n">
        <v>163600</v>
      </c>
      <c r="O73" t="n">
        <v>139060</v>
      </c>
      <c r="P73" t="inlineStr">
        <is>
          <t>2026-04-19</t>
        </is>
      </c>
      <c r="Q73" t="inlineStr">
        <is>
          <t>2027-01-27</t>
        </is>
      </c>
      <c r="R73" t="n">
        <v>7</v>
      </c>
      <c r="S73" t="inlineStr">
        <is>
          <t>Forecast confirmation</t>
        </is>
      </c>
      <c r="T73" t="inlineStr">
        <is>
          <t>FAE referral</t>
        </is>
      </c>
      <c r="U73" t="inlineStr"/>
      <c r="V73">
        <f>IF(S73="",1,0)</f>
        <v/>
      </c>
      <c r="W73">
        <f>IF(J73="",1,0)</f>
        <v/>
      </c>
      <c r="X73">
        <f>IF(F73="",1,0)</f>
        <v/>
      </c>
      <c r="Y73">
        <f>IF(AND(AND(H73&lt;&gt;"Mass production",H73&lt;&gt;"Lost"),DATEVALUE(Q73)&lt;DATE(2026,10,20)),1,0)</f>
        <v/>
      </c>
      <c r="Z73">
        <f>IF(AND(AND(H73&lt;&gt;"Mass production",H73&lt;&gt;"Lost"),R73&gt;30),1,0)</f>
        <v/>
      </c>
      <c r="AA73">
        <f>IF(COUNTIFS($G$2:$G$247,G73,$F$2:$F$247,F73,$J$2:$J$247,J73,$K$2:$K$247,K73)&gt;1,1,0)</f>
        <v/>
      </c>
      <c r="AB73">
        <f>SUM(V73:AA73)</f>
        <v/>
      </c>
    </row>
    <row r="74">
      <c r="A74" t="inlineStr">
        <is>
          <t>OPP-26072</t>
        </is>
      </c>
      <c r="B74" t="inlineStr">
        <is>
          <t>Nordwind Telematics</t>
        </is>
      </c>
      <c r="C74" t="inlineStr">
        <is>
          <t>Nordics</t>
        </is>
      </c>
      <c r="D74" t="inlineStr">
        <is>
          <t>Sweden</t>
        </is>
      </c>
      <c r="E74" t="inlineStr">
        <is>
          <t>E. Lindqvist</t>
        </is>
      </c>
      <c r="F74" t="inlineStr">
        <is>
          <t>Asset tracking</t>
        </is>
      </c>
      <c r="G74" t="inlineStr">
        <is>
          <t>5G eMBB</t>
        </is>
      </c>
      <c r="H74" t="inlineStr">
        <is>
          <t>Design-in</t>
        </is>
      </c>
      <c r="I74" t="n">
        <v>0.4</v>
      </c>
      <c r="J74" t="n">
        <v>3000</v>
      </c>
      <c r="K74" t="n">
        <v>106.24</v>
      </c>
      <c r="L74" t="n">
        <v>3</v>
      </c>
      <c r="M74" t="n">
        <v>318720</v>
      </c>
      <c r="N74" t="n">
        <v>956160</v>
      </c>
      <c r="O74" t="n">
        <v>382464</v>
      </c>
      <c r="P74" t="inlineStr">
        <is>
          <t>2026-02-13</t>
        </is>
      </c>
      <c r="Q74" t="inlineStr">
        <is>
          <t>2026-09-24</t>
        </is>
      </c>
      <c r="R74" t="n">
        <v>5</v>
      </c>
      <c r="S74" t="inlineStr">
        <is>
          <t>Send samples</t>
        </is>
      </c>
      <c r="T74" t="inlineStr">
        <is>
          <t>Direct</t>
        </is>
      </c>
      <c r="U74" t="inlineStr"/>
      <c r="V74">
        <f>IF(S74="",1,0)</f>
        <v/>
      </c>
      <c r="W74">
        <f>IF(J74="",1,0)</f>
        <v/>
      </c>
      <c r="X74">
        <f>IF(F74="",1,0)</f>
        <v/>
      </c>
      <c r="Y74">
        <f>IF(AND(AND(H74&lt;&gt;"Mass production",H74&lt;&gt;"Lost"),DATEVALUE(Q74)&lt;DATE(2026,10,20)),1,0)</f>
        <v/>
      </c>
      <c r="Z74">
        <f>IF(AND(AND(H74&lt;&gt;"Mass production",H74&lt;&gt;"Lost"),R74&gt;30),1,0)</f>
        <v/>
      </c>
      <c r="AA74">
        <f>IF(COUNTIFS($G$2:$G$247,G74,$F$2:$F$247,F74,$J$2:$J$247,J74,$K$2:$K$247,K74)&gt;1,1,0)</f>
        <v/>
      </c>
      <c r="AB74">
        <f>SUM(V74:AA74)</f>
        <v/>
      </c>
    </row>
    <row r="75">
      <c r="A75" t="inlineStr">
        <is>
          <t>OPP-26073</t>
        </is>
      </c>
      <c r="B75" t="inlineStr">
        <is>
          <t>Morava Systems</t>
        </is>
      </c>
      <c r="C75" t="inlineStr">
        <is>
          <t>France &amp; Benelux</t>
        </is>
      </c>
      <c r="D75" t="inlineStr">
        <is>
          <t>Netherlands</t>
        </is>
      </c>
      <c r="E75" t="inlineStr">
        <is>
          <t>B. de Vries</t>
        </is>
      </c>
      <c r="F75" t="inlineStr"/>
      <c r="G75" t="inlineStr">
        <is>
          <t>Wi-Fi / Bluetooth</t>
        </is>
      </c>
      <c r="H75" t="inlineStr">
        <is>
          <t>Mass production</t>
        </is>
      </c>
      <c r="I75" t="n">
        <v>1</v>
      </c>
      <c r="J75" t="n">
        <v>30000</v>
      </c>
      <c r="K75" t="n">
        <v>4.97</v>
      </c>
      <c r="L75" t="n">
        <v>5</v>
      </c>
      <c r="M75" t="n">
        <v>149100</v>
      </c>
      <c r="N75" t="n">
        <v>745500</v>
      </c>
      <c r="O75" t="n">
        <v>745500</v>
      </c>
      <c r="P75" t="inlineStr">
        <is>
          <t>2026-09-25</t>
        </is>
      </c>
      <c r="Q75" t="inlineStr">
        <is>
          <t>2026-10-19</t>
        </is>
      </c>
      <c r="R75" t="n">
        <v>4</v>
      </c>
      <c r="S75" t="inlineStr">
        <is>
          <t>Pilot build follow-up</t>
        </is>
      </c>
      <c r="T75" t="inlineStr">
        <is>
          <t>Direct</t>
        </is>
      </c>
      <c r="U75" t="inlineStr"/>
      <c r="V75">
        <f>IF(S75="",1,0)</f>
        <v/>
      </c>
      <c r="W75">
        <f>IF(J75="",1,0)</f>
        <v/>
      </c>
      <c r="X75">
        <f>IF(F75="",1,0)</f>
        <v/>
      </c>
      <c r="Y75">
        <f>IF(AND(AND(H75&lt;&gt;"Mass production",H75&lt;&gt;"Lost"),DATEVALUE(Q75)&lt;DATE(2026,10,20)),1,0)</f>
        <v/>
      </c>
      <c r="Z75">
        <f>IF(AND(AND(H75&lt;&gt;"Mass production",H75&lt;&gt;"Lost"),R75&gt;30),1,0)</f>
        <v/>
      </c>
      <c r="AA75">
        <f>IF(COUNTIFS($G$2:$G$247,G75,$F$2:$F$247,F75,$J$2:$J$247,J75,$K$2:$K$247,K75)&gt;1,1,0)</f>
        <v/>
      </c>
      <c r="AB75">
        <f>SUM(V75:AA75)</f>
        <v/>
      </c>
    </row>
    <row r="76">
      <c r="A76" t="inlineStr">
        <is>
          <t>OPP-26074</t>
        </is>
      </c>
      <c r="B76" t="inlineStr">
        <is>
          <t>Corvid Connect</t>
        </is>
      </c>
      <c r="C76" t="inlineStr">
        <is>
          <t>DACH</t>
        </is>
      </c>
      <c r="D76" t="inlineStr">
        <is>
          <t>Austria</t>
        </is>
      </c>
      <c r="E76" t="inlineStr">
        <is>
          <t>J. Weber</t>
        </is>
      </c>
      <c r="F76" t="inlineStr">
        <is>
          <t>Asset tracking</t>
        </is>
      </c>
      <c r="G76" t="inlineStr">
        <is>
          <t>Wi-Fi / Bluetooth</t>
        </is>
      </c>
      <c r="H76" t="inlineStr">
        <is>
          <t>Sample / Evaluation</t>
        </is>
      </c>
      <c r="I76" t="n">
        <v>0.2</v>
      </c>
      <c r="J76" t="n">
        <v>3000</v>
      </c>
      <c r="K76" t="n">
        <v>4.68</v>
      </c>
      <c r="L76" t="n">
        <v>2</v>
      </c>
      <c r="M76" t="n">
        <v>14040</v>
      </c>
      <c r="N76" t="n">
        <v>28080</v>
      </c>
      <c r="O76" t="n">
        <v>5616</v>
      </c>
      <c r="P76" t="inlineStr">
        <is>
          <t>2025-05-07</t>
        </is>
      </c>
      <c r="Q76" t="inlineStr">
        <is>
          <t>2027-07-12</t>
        </is>
      </c>
      <c r="R76" t="n">
        <v>8</v>
      </c>
      <c r="S76" t="inlineStr">
        <is>
          <t>Pilot build follow-up</t>
        </is>
      </c>
      <c r="T76" t="inlineStr">
        <is>
          <t>Distributor</t>
        </is>
      </c>
      <c r="U76" t="inlineStr"/>
      <c r="V76">
        <f>IF(S76="",1,0)</f>
        <v/>
      </c>
      <c r="W76">
        <f>IF(J76="",1,0)</f>
        <v/>
      </c>
      <c r="X76">
        <f>IF(F76="",1,0)</f>
        <v/>
      </c>
      <c r="Y76">
        <f>IF(AND(AND(H76&lt;&gt;"Mass production",H76&lt;&gt;"Lost"),DATEVALUE(Q76)&lt;DATE(2026,10,20)),1,0)</f>
        <v/>
      </c>
      <c r="Z76">
        <f>IF(AND(AND(H76&lt;&gt;"Mass production",H76&lt;&gt;"Lost"),R76&gt;30),1,0)</f>
        <v/>
      </c>
      <c r="AA76">
        <f>IF(COUNTIFS($G$2:$G$247,G76,$F$2:$F$247,F76,$J$2:$J$247,J76,$K$2:$K$247,K76)&gt;1,1,0)</f>
        <v/>
      </c>
      <c r="AB76">
        <f>SUM(V76:AA76)</f>
        <v/>
      </c>
    </row>
    <row r="77">
      <c r="A77" t="inlineStr">
        <is>
          <t>OPP-26075</t>
        </is>
      </c>
      <c r="B77" t="inlineStr">
        <is>
          <t>Corvid Connect</t>
        </is>
      </c>
      <c r="C77" t="inlineStr">
        <is>
          <t>DACH</t>
        </is>
      </c>
      <c r="D77" t="inlineStr">
        <is>
          <t>Austria</t>
        </is>
      </c>
      <c r="E77" t="inlineStr">
        <is>
          <t>J. Weber</t>
        </is>
      </c>
      <c r="F77" t="inlineStr">
        <is>
          <t>Smart home &amp; security</t>
        </is>
      </c>
      <c r="G77" t="inlineStr">
        <is>
          <t>5G eMBB</t>
        </is>
      </c>
      <c r="H77" t="inlineStr">
        <is>
          <t>Design-in</t>
        </is>
      </c>
      <c r="I77" t="n">
        <v>0.4</v>
      </c>
      <c r="J77" t="n">
        <v>3000</v>
      </c>
      <c r="K77" t="n">
        <v>121.54</v>
      </c>
      <c r="L77" t="n">
        <v>5</v>
      </c>
      <c r="M77" t="n">
        <v>364620</v>
      </c>
      <c r="N77" t="n">
        <v>1823100</v>
      </c>
      <c r="O77" t="n">
        <v>729240</v>
      </c>
      <c r="P77" t="inlineStr">
        <is>
          <t>2025-09-26</t>
        </is>
      </c>
      <c r="Q77" t="inlineStr">
        <is>
          <t>2026-10-14</t>
        </is>
      </c>
      <c r="R77" t="n">
        <v>80</v>
      </c>
      <c r="S77" t="inlineStr"/>
      <c r="T77" t="inlineStr">
        <is>
          <t>Direct</t>
        </is>
      </c>
      <c r="U77" t="inlineStr"/>
      <c r="V77">
        <f>IF(S77="",1,0)</f>
        <v/>
      </c>
      <c r="W77">
        <f>IF(J77="",1,0)</f>
        <v/>
      </c>
      <c r="X77">
        <f>IF(F77="",1,0)</f>
        <v/>
      </c>
      <c r="Y77">
        <f>IF(AND(AND(H77&lt;&gt;"Mass production",H77&lt;&gt;"Lost"),DATEVALUE(Q77)&lt;DATE(2026,10,20)),1,0)</f>
        <v/>
      </c>
      <c r="Z77">
        <f>IF(AND(AND(H77&lt;&gt;"Mass production",H77&lt;&gt;"Lost"),R77&gt;30),1,0)</f>
        <v/>
      </c>
      <c r="AA77">
        <f>IF(COUNTIFS($G$2:$G$247,G77,$F$2:$F$247,F77,$J$2:$J$247,J77,$K$2:$K$247,K77)&gt;1,1,0)</f>
        <v/>
      </c>
      <c r="AB77">
        <f>SUM(V77:AA77)</f>
        <v/>
      </c>
    </row>
    <row r="78">
      <c r="A78" t="inlineStr">
        <is>
          <t>OPP-26076</t>
        </is>
      </c>
      <c r="B78" t="inlineStr">
        <is>
          <t>Kestrel Systems</t>
        </is>
      </c>
      <c r="C78" t="inlineStr">
        <is>
          <t>DACH</t>
        </is>
      </c>
      <c r="D78" t="inlineStr">
        <is>
          <t>Austria</t>
        </is>
      </c>
      <c r="E78" t="inlineStr">
        <is>
          <t>J. Weber</t>
        </is>
      </c>
      <c r="F78" t="inlineStr">
        <is>
          <t>Telematics</t>
        </is>
      </c>
      <c r="G78" t="inlineStr">
        <is>
          <t>Smart module</t>
        </is>
      </c>
      <c r="H78" t="inlineStr">
        <is>
          <t>Sample / Evaluation</t>
        </is>
      </c>
      <c r="I78" t="n">
        <v>0.2</v>
      </c>
      <c r="J78" t="n">
        <v>3000</v>
      </c>
      <c r="K78" t="n">
        <v>77.86</v>
      </c>
      <c r="L78" t="n">
        <v>5</v>
      </c>
      <c r="M78" t="n">
        <v>233580</v>
      </c>
      <c r="N78" t="n">
        <v>1167900</v>
      </c>
      <c r="O78" t="n">
        <v>233580</v>
      </c>
      <c r="P78" t="inlineStr">
        <is>
          <t>2025-10-25</t>
        </is>
      </c>
      <c r="Q78" t="inlineStr">
        <is>
          <t>2026-11-17</t>
        </is>
      </c>
      <c r="R78" t="n">
        <v>0</v>
      </c>
      <c r="S78" t="inlineStr">
        <is>
          <t>Price negotiation</t>
        </is>
      </c>
      <c r="T78" t="inlineStr">
        <is>
          <t>Tradeshow</t>
        </is>
      </c>
      <c r="U78" t="inlineStr"/>
      <c r="V78">
        <f>IF(S78="",1,0)</f>
        <v/>
      </c>
      <c r="W78">
        <f>IF(J78="",1,0)</f>
        <v/>
      </c>
      <c r="X78">
        <f>IF(F78="",1,0)</f>
        <v/>
      </c>
      <c r="Y78">
        <f>IF(AND(AND(H78&lt;&gt;"Mass production",H78&lt;&gt;"Lost"),DATEVALUE(Q78)&lt;DATE(2026,10,20)),1,0)</f>
        <v/>
      </c>
      <c r="Z78">
        <f>IF(AND(AND(H78&lt;&gt;"Mass production",H78&lt;&gt;"Lost"),R78&gt;30),1,0)</f>
        <v/>
      </c>
      <c r="AA78">
        <f>IF(COUNTIFS($G$2:$G$247,G78,$F$2:$F$247,F78,$J$2:$J$247,J78,$K$2:$K$247,K78)&gt;1,1,0)</f>
        <v/>
      </c>
      <c r="AB78">
        <f>SUM(V78:AA78)</f>
        <v/>
      </c>
    </row>
    <row r="79">
      <c r="A79" t="inlineStr">
        <is>
          <t>OPP-26077</t>
        </is>
      </c>
      <c r="B79" t="inlineStr">
        <is>
          <t>Kestrel Systems</t>
        </is>
      </c>
      <c r="C79" t="inlineStr">
        <is>
          <t>DACH</t>
        </is>
      </c>
      <c r="D79" t="inlineStr">
        <is>
          <t>Austria</t>
        </is>
      </c>
      <c r="E79" t="inlineStr">
        <is>
          <t>L. Hoffmann</t>
        </is>
      </c>
      <c r="F79" t="inlineStr">
        <is>
          <t>POS &amp; payments</t>
        </is>
      </c>
      <c r="G79" t="inlineStr">
        <is>
          <t>LTE-M / NB-IoT</t>
        </is>
      </c>
      <c r="H79" t="inlineStr">
        <is>
          <t>Pilot</t>
        </is>
      </c>
      <c r="I79" t="n">
        <v>0.85</v>
      </c>
      <c r="J79" t="n">
        <v>8000</v>
      </c>
      <c r="K79" t="n">
        <v>5.61</v>
      </c>
      <c r="L79" t="n">
        <v>2</v>
      </c>
      <c r="M79" t="n">
        <v>44880</v>
      </c>
      <c r="N79" t="n">
        <v>89760</v>
      </c>
      <c r="O79" t="n">
        <v>76296</v>
      </c>
      <c r="P79" t="inlineStr">
        <is>
          <t>2026-03-10</t>
        </is>
      </c>
      <c r="Q79" t="inlineStr">
        <is>
          <t>2026-10-01</t>
        </is>
      </c>
      <c r="R79" t="n">
        <v>5</v>
      </c>
      <c r="S79" t="inlineStr">
        <is>
          <t>Send samples</t>
        </is>
      </c>
      <c r="T79" t="inlineStr">
        <is>
          <t>Tradeshow</t>
        </is>
      </c>
      <c r="U79" t="inlineStr"/>
      <c r="V79">
        <f>IF(S79="",1,0)</f>
        <v/>
      </c>
      <c r="W79">
        <f>IF(J79="",1,0)</f>
        <v/>
      </c>
      <c r="X79">
        <f>IF(F79="",1,0)</f>
        <v/>
      </c>
      <c r="Y79">
        <f>IF(AND(AND(H79&lt;&gt;"Mass production",H79&lt;&gt;"Lost"),DATEVALUE(Q79)&lt;DATE(2026,10,20)),1,0)</f>
        <v/>
      </c>
      <c r="Z79">
        <f>IF(AND(AND(H79&lt;&gt;"Mass production",H79&lt;&gt;"Lost"),R79&gt;30),1,0)</f>
        <v/>
      </c>
      <c r="AA79">
        <f>IF(COUNTIFS($G$2:$G$247,G79,$F$2:$F$247,F79,$J$2:$J$247,J79,$K$2:$K$247,K79)&gt;1,1,0)</f>
        <v/>
      </c>
      <c r="AB79">
        <f>SUM(V79:AA79)</f>
        <v/>
      </c>
    </row>
    <row r="80">
      <c r="A80" t="inlineStr">
        <is>
          <t>OPP-26078</t>
        </is>
      </c>
      <c r="B80" t="inlineStr">
        <is>
          <t>Kestrel Health</t>
        </is>
      </c>
      <c r="C80" t="inlineStr">
        <is>
          <t>CEE</t>
        </is>
      </c>
      <c r="D80" t="inlineStr">
        <is>
          <t>Hungary</t>
        </is>
      </c>
      <c r="E80" t="inlineStr">
        <is>
          <t>D. Jovanovic</t>
        </is>
      </c>
      <c r="F80" t="inlineStr">
        <is>
          <t>Healthcare</t>
        </is>
      </c>
      <c r="G80" t="inlineStr">
        <is>
          <t>5G RedCap</t>
        </is>
      </c>
      <c r="H80" t="inlineStr">
        <is>
          <t>Mass production</t>
        </is>
      </c>
      <c r="I80" t="n">
        <v>1</v>
      </c>
      <c r="J80" t="n">
        <v>15000</v>
      </c>
      <c r="K80" t="n">
        <v>58.78</v>
      </c>
      <c r="L80" t="n">
        <v>3</v>
      </c>
      <c r="M80" t="n">
        <v>881700</v>
      </c>
      <c r="N80" t="n">
        <v>2645100</v>
      </c>
      <c r="O80" t="n">
        <v>2645100</v>
      </c>
      <c r="P80" t="inlineStr">
        <is>
          <t>2026-05-26</t>
        </is>
      </c>
      <c r="Q80" t="inlineStr">
        <is>
          <t>2026-10-06</t>
        </is>
      </c>
      <c r="R80" t="n">
        <v>87</v>
      </c>
      <c r="S80" t="inlineStr">
        <is>
          <t>Quote revision</t>
        </is>
      </c>
      <c r="T80" t="inlineStr">
        <is>
          <t>Distributor</t>
        </is>
      </c>
      <c r="U80" t="inlineStr"/>
      <c r="V80">
        <f>IF(S80="",1,0)</f>
        <v/>
      </c>
      <c r="W80">
        <f>IF(J80="",1,0)</f>
        <v/>
      </c>
      <c r="X80">
        <f>IF(F80="",1,0)</f>
        <v/>
      </c>
      <c r="Y80">
        <f>IF(AND(AND(H80&lt;&gt;"Mass production",H80&lt;&gt;"Lost"),DATEVALUE(Q80)&lt;DATE(2026,10,20)),1,0)</f>
        <v/>
      </c>
      <c r="Z80">
        <f>IF(AND(AND(H80&lt;&gt;"Mass production",H80&lt;&gt;"Lost"),R80&gt;30),1,0)</f>
        <v/>
      </c>
      <c r="AA80">
        <f>IF(COUNTIFS($G$2:$G$247,G80,$F$2:$F$247,F80,$J$2:$J$247,J80,$K$2:$K$247,K80)&gt;1,1,0)</f>
        <v/>
      </c>
      <c r="AB80">
        <f>SUM(V80:AA80)</f>
        <v/>
      </c>
    </row>
    <row r="81">
      <c r="A81" t="inlineStr">
        <is>
          <t>OPP-26079</t>
        </is>
      </c>
      <c r="B81" t="inlineStr">
        <is>
          <t>Baltix Energy</t>
        </is>
      </c>
      <c r="C81" t="inlineStr">
        <is>
          <t>France &amp; Benelux</t>
        </is>
      </c>
      <c r="D81" t="inlineStr">
        <is>
          <t>Belgium</t>
        </is>
      </c>
      <c r="E81" t="inlineStr">
        <is>
          <t>B. de Vries</t>
        </is>
      </c>
      <c r="F81" t="inlineStr">
        <is>
          <t>POS &amp; payments</t>
        </is>
      </c>
      <c r="G81" t="inlineStr">
        <is>
          <t>5G RedCap</t>
        </is>
      </c>
      <c r="H81" t="inlineStr">
        <is>
          <t>Sample / Evaluation</t>
        </is>
      </c>
      <c r="I81" t="n">
        <v>0.2</v>
      </c>
      <c r="J81" t="n">
        <v>3000</v>
      </c>
      <c r="K81" t="n">
        <v>55.45</v>
      </c>
      <c r="L81" t="n">
        <v>4</v>
      </c>
      <c r="M81" t="n">
        <v>166350</v>
      </c>
      <c r="N81" t="n">
        <v>665400</v>
      </c>
      <c r="O81" t="n">
        <v>133080</v>
      </c>
      <c r="P81" t="inlineStr">
        <is>
          <t>2025-01-22</t>
        </is>
      </c>
      <c r="Q81" t="inlineStr">
        <is>
          <t>2026-12-11</t>
        </is>
      </c>
      <c r="R81" t="n">
        <v>8</v>
      </c>
      <c r="S81" t="inlineStr">
        <is>
          <t>Pilot build follow-up</t>
        </is>
      </c>
      <c r="T81" t="inlineStr">
        <is>
          <t>Distributor</t>
        </is>
      </c>
      <c r="U81" t="inlineStr"/>
      <c r="V81">
        <f>IF(S81="",1,0)</f>
        <v/>
      </c>
      <c r="W81">
        <f>IF(J81="",1,0)</f>
        <v/>
      </c>
      <c r="X81">
        <f>IF(F81="",1,0)</f>
        <v/>
      </c>
      <c r="Y81">
        <f>IF(AND(AND(H81&lt;&gt;"Mass production",H81&lt;&gt;"Lost"),DATEVALUE(Q81)&lt;DATE(2026,10,20)),1,0)</f>
        <v/>
      </c>
      <c r="Z81">
        <f>IF(AND(AND(H81&lt;&gt;"Mass production",H81&lt;&gt;"Lost"),R81&gt;30),1,0)</f>
        <v/>
      </c>
      <c r="AA81">
        <f>IF(COUNTIFS($G$2:$G$247,G81,$F$2:$F$247,F81,$J$2:$J$247,J81,$K$2:$K$247,K81)&gt;1,1,0)</f>
        <v/>
      </c>
      <c r="AB81">
        <f>SUM(V81:AA81)</f>
        <v/>
      </c>
    </row>
    <row r="82">
      <c r="A82" t="inlineStr">
        <is>
          <t>OPP-26080</t>
        </is>
      </c>
      <c r="B82" t="inlineStr">
        <is>
          <t>Vector Metering</t>
        </is>
      </c>
      <c r="C82" t="inlineStr">
        <is>
          <t>DACH</t>
        </is>
      </c>
      <c r="D82" t="inlineStr">
        <is>
          <t>Germany</t>
        </is>
      </c>
      <c r="E82" t="inlineStr">
        <is>
          <t>L. Hoffmann</t>
        </is>
      </c>
      <c r="F82" t="inlineStr">
        <is>
          <t>Healthcare</t>
        </is>
      </c>
      <c r="G82" t="inlineStr">
        <is>
          <t>LTE Cat 1 bis</t>
        </is>
      </c>
      <c r="H82" t="inlineStr">
        <is>
          <t>Design-win</t>
        </is>
      </c>
      <c r="I82" t="n">
        <v>0.7</v>
      </c>
      <c r="J82" t="n">
        <v>15000</v>
      </c>
      <c r="K82" t="n">
        <v>9.06</v>
      </c>
      <c r="L82" t="n">
        <v>5</v>
      </c>
      <c r="M82" t="n">
        <v>135900</v>
      </c>
      <c r="N82" t="n">
        <v>679500</v>
      </c>
      <c r="O82" t="n">
        <v>475650</v>
      </c>
      <c r="P82" t="inlineStr">
        <is>
          <t>2025-07-12</t>
        </is>
      </c>
      <c r="Q82" t="inlineStr">
        <is>
          <t>2026-07-25</t>
        </is>
      </c>
      <c r="R82" t="n">
        <v>16</v>
      </c>
      <c r="S82" t="inlineStr">
        <is>
          <t>Quote revision</t>
        </is>
      </c>
      <c r="T82" t="inlineStr">
        <is>
          <t>FAE referral</t>
        </is>
      </c>
      <c r="U82" t="inlineStr"/>
      <c r="V82">
        <f>IF(S82="",1,0)</f>
        <v/>
      </c>
      <c r="W82">
        <f>IF(J82="",1,0)</f>
        <v/>
      </c>
      <c r="X82">
        <f>IF(F82="",1,0)</f>
        <v/>
      </c>
      <c r="Y82">
        <f>IF(AND(AND(H82&lt;&gt;"Mass production",H82&lt;&gt;"Lost"),DATEVALUE(Q82)&lt;DATE(2026,10,20)),1,0)</f>
        <v/>
      </c>
      <c r="Z82">
        <f>IF(AND(AND(H82&lt;&gt;"Mass production",H82&lt;&gt;"Lost"),R82&gt;30),1,0)</f>
        <v/>
      </c>
      <c r="AA82">
        <f>IF(COUNTIFS($G$2:$G$247,G82,$F$2:$F$247,F82,$J$2:$J$247,J82,$K$2:$K$247,K82)&gt;1,1,0)</f>
        <v/>
      </c>
      <c r="AB82">
        <f>SUM(V82:AA82)</f>
        <v/>
      </c>
    </row>
    <row r="83">
      <c r="A83" t="inlineStr">
        <is>
          <t>OPP-26081</t>
        </is>
      </c>
      <c r="B83" t="inlineStr">
        <is>
          <t>Alpenlink Metering</t>
        </is>
      </c>
      <c r="C83" t="inlineStr">
        <is>
          <t>UK &amp; Ireland</t>
        </is>
      </c>
      <c r="D83" t="inlineStr">
        <is>
          <t>United Kingdom</t>
        </is>
      </c>
      <c r="E83" t="inlineStr">
        <is>
          <t>R. Patel</t>
        </is>
      </c>
      <c r="F83" t="inlineStr">
        <is>
          <t>Healthcare</t>
        </is>
      </c>
      <c r="G83" t="inlineStr">
        <is>
          <t>5G RedCap</t>
        </is>
      </c>
      <c r="H83" t="inlineStr">
        <is>
          <t>Mass production</t>
        </is>
      </c>
      <c r="I83" t="n">
        <v>1</v>
      </c>
      <c r="J83" t="n">
        <v>8000</v>
      </c>
      <c r="K83" t="n">
        <v>41.03</v>
      </c>
      <c r="L83" t="n">
        <v>3</v>
      </c>
      <c r="M83" t="n">
        <v>328240</v>
      </c>
      <c r="N83" t="n">
        <v>984720</v>
      </c>
      <c r="O83" t="n">
        <v>984720</v>
      </c>
      <c r="P83" t="inlineStr">
        <is>
          <t>2025-09-25</t>
        </is>
      </c>
      <c r="Q83" t="inlineStr">
        <is>
          <t>2026-08-07</t>
        </is>
      </c>
      <c r="R83" t="n">
        <v>0</v>
      </c>
      <c r="S83" t="inlineStr">
        <is>
          <t>Price negotiation</t>
        </is>
      </c>
      <c r="T83" t="inlineStr">
        <is>
          <t>Tradeshow</t>
        </is>
      </c>
      <c r="U83" t="inlineStr"/>
      <c r="V83">
        <f>IF(S83="",1,0)</f>
        <v/>
      </c>
      <c r="W83">
        <f>IF(J83="",1,0)</f>
        <v/>
      </c>
      <c r="X83">
        <f>IF(F83="",1,0)</f>
        <v/>
      </c>
      <c r="Y83">
        <f>IF(AND(AND(H83&lt;&gt;"Mass production",H83&lt;&gt;"Lost"),DATEVALUE(Q83)&lt;DATE(2026,10,20)),1,0)</f>
        <v/>
      </c>
      <c r="Z83">
        <f>IF(AND(AND(H83&lt;&gt;"Mass production",H83&lt;&gt;"Lost"),R83&gt;30),1,0)</f>
        <v/>
      </c>
      <c r="AA83">
        <f>IF(COUNTIFS($G$2:$G$247,G83,$F$2:$F$247,F83,$J$2:$J$247,J83,$K$2:$K$247,K83)&gt;1,1,0)</f>
        <v/>
      </c>
      <c r="AB83">
        <f>SUM(V83:AA83)</f>
        <v/>
      </c>
    </row>
    <row r="84">
      <c r="A84" t="inlineStr">
        <is>
          <t>OPP-26082</t>
        </is>
      </c>
      <c r="B84" t="inlineStr">
        <is>
          <t>Alpenlink Connect</t>
        </is>
      </c>
      <c r="C84" t="inlineStr">
        <is>
          <t>France &amp; Benelux</t>
        </is>
      </c>
      <c r="D84" t="inlineStr">
        <is>
          <t>Belgium</t>
        </is>
      </c>
      <c r="E84" t="inlineStr">
        <is>
          <t>C. Martin</t>
        </is>
      </c>
      <c r="F84" t="inlineStr">
        <is>
          <t>POS &amp; payments</t>
        </is>
      </c>
      <c r="G84" t="inlineStr">
        <is>
          <t>LTE Cat 1 bis</t>
        </is>
      </c>
      <c r="H84" t="inlineStr">
        <is>
          <t>Sample / Evaluation</t>
        </is>
      </c>
      <c r="I84" t="n">
        <v>0.2</v>
      </c>
      <c r="J84" t="n">
        <v>8000</v>
      </c>
      <c r="K84" t="n">
        <v>9.77</v>
      </c>
      <c r="L84" t="n">
        <v>2</v>
      </c>
      <c r="M84" t="n">
        <v>78160</v>
      </c>
      <c r="N84" t="n">
        <v>156320</v>
      </c>
      <c r="O84" t="n">
        <v>31264</v>
      </c>
      <c r="P84" t="inlineStr">
        <is>
          <t>2026-09-04</t>
        </is>
      </c>
      <c r="Q84" t="inlineStr">
        <is>
          <t>2027-09-21</t>
        </is>
      </c>
      <c r="R84" t="n">
        <v>2</v>
      </c>
      <c r="S84" t="inlineStr">
        <is>
          <t>Pilot build follow-up</t>
        </is>
      </c>
      <c r="T84" t="inlineStr">
        <is>
          <t>Tradeshow</t>
        </is>
      </c>
      <c r="U84" t="inlineStr"/>
      <c r="V84">
        <f>IF(S84="",1,0)</f>
        <v/>
      </c>
      <c r="W84">
        <f>IF(J84="",1,0)</f>
        <v/>
      </c>
      <c r="X84">
        <f>IF(F84="",1,0)</f>
        <v/>
      </c>
      <c r="Y84">
        <f>IF(AND(AND(H84&lt;&gt;"Mass production",H84&lt;&gt;"Lost"),DATEVALUE(Q84)&lt;DATE(2026,10,20)),1,0)</f>
        <v/>
      </c>
      <c r="Z84">
        <f>IF(AND(AND(H84&lt;&gt;"Mass production",H84&lt;&gt;"Lost"),R84&gt;30),1,0)</f>
        <v/>
      </c>
      <c r="AA84">
        <f>IF(COUNTIFS($G$2:$G$247,G84,$F$2:$F$247,F84,$J$2:$J$247,J84,$K$2:$K$247,K84)&gt;1,1,0)</f>
        <v/>
      </c>
      <c r="AB84">
        <f>SUM(V84:AA84)</f>
        <v/>
      </c>
    </row>
    <row r="85">
      <c r="A85" t="inlineStr">
        <is>
          <t>OPP-26083</t>
        </is>
      </c>
      <c r="B85" t="inlineStr">
        <is>
          <t>Iberix Mobility</t>
        </is>
      </c>
      <c r="C85" t="inlineStr">
        <is>
          <t>DACH</t>
        </is>
      </c>
      <c r="D85" t="inlineStr">
        <is>
          <t>Austria</t>
        </is>
      </c>
      <c r="E85" t="inlineStr">
        <is>
          <t>L. Hoffmann</t>
        </is>
      </c>
      <c r="F85" t="inlineStr">
        <is>
          <t>Healthcare</t>
        </is>
      </c>
      <c r="G85" t="inlineStr">
        <is>
          <t>LTE-M / NB-IoT</t>
        </is>
      </c>
      <c r="H85" t="inlineStr">
        <is>
          <t>Sample / Evaluation</t>
        </is>
      </c>
      <c r="I85" t="n">
        <v>0.2</v>
      </c>
      <c r="J85" t="n">
        <v>5000</v>
      </c>
      <c r="K85" t="n">
        <v>6.1</v>
      </c>
      <c r="L85" t="n">
        <v>2</v>
      </c>
      <c r="M85" t="n">
        <v>30500</v>
      </c>
      <c r="N85" t="n">
        <v>61000</v>
      </c>
      <c r="O85" t="n">
        <v>12200</v>
      </c>
      <c r="P85" t="inlineStr">
        <is>
          <t>2025-06-25</t>
        </is>
      </c>
      <c r="Q85" t="inlineStr">
        <is>
          <t>2026-12-07</t>
        </is>
      </c>
      <c r="R85" t="n">
        <v>29</v>
      </c>
      <c r="S85" t="inlineStr">
        <is>
          <t>Technical review call</t>
        </is>
      </c>
      <c r="T85" t="inlineStr">
        <is>
          <t>Distributor</t>
        </is>
      </c>
      <c r="U85" t="inlineStr"/>
      <c r="V85">
        <f>IF(S85="",1,0)</f>
        <v/>
      </c>
      <c r="W85">
        <f>IF(J85="",1,0)</f>
        <v/>
      </c>
      <c r="X85">
        <f>IF(F85="",1,0)</f>
        <v/>
      </c>
      <c r="Y85">
        <f>IF(AND(AND(H85&lt;&gt;"Mass production",H85&lt;&gt;"Lost"),DATEVALUE(Q85)&lt;DATE(2026,10,20)),1,0)</f>
        <v/>
      </c>
      <c r="Z85">
        <f>IF(AND(AND(H85&lt;&gt;"Mass production",H85&lt;&gt;"Lost"),R85&gt;30),1,0)</f>
        <v/>
      </c>
      <c r="AA85">
        <f>IF(COUNTIFS($G$2:$G$247,G85,$F$2:$F$247,F85,$J$2:$J$247,J85,$K$2:$K$247,K85)&gt;1,1,0)</f>
        <v/>
      </c>
      <c r="AB85">
        <f>SUM(V85:AA85)</f>
        <v/>
      </c>
    </row>
    <row r="86">
      <c r="A86" t="inlineStr">
        <is>
          <t>OPP-26084</t>
        </is>
      </c>
      <c r="B86" t="inlineStr">
        <is>
          <t>Orbis Systems</t>
        </is>
      </c>
      <c r="C86" t="inlineStr">
        <is>
          <t>France &amp; Benelux</t>
        </is>
      </c>
      <c r="D86" t="inlineStr">
        <is>
          <t>Belgium</t>
        </is>
      </c>
      <c r="E86" t="inlineStr">
        <is>
          <t>C. Martin</t>
        </is>
      </c>
      <c r="F86" t="inlineStr">
        <is>
          <t>Healthcare</t>
        </is>
      </c>
      <c r="G86" t="inlineStr">
        <is>
          <t>Smart module</t>
        </is>
      </c>
      <c r="H86" t="inlineStr">
        <is>
          <t>Mass production</t>
        </is>
      </c>
      <c r="I86" t="n">
        <v>1</v>
      </c>
      <c r="J86" t="n">
        <v>5000</v>
      </c>
      <c r="K86" t="n">
        <v>80.48</v>
      </c>
      <c r="L86" t="n">
        <v>3</v>
      </c>
      <c r="M86" t="n">
        <v>402400</v>
      </c>
      <c r="N86" t="n">
        <v>1207200</v>
      </c>
      <c r="O86" t="n">
        <v>1207200</v>
      </c>
      <c r="P86" t="inlineStr">
        <is>
          <t>2025-04-28</t>
        </is>
      </c>
      <c r="Q86" t="inlineStr">
        <is>
          <t>2025-12-18</t>
        </is>
      </c>
      <c r="R86" t="n">
        <v>19</v>
      </c>
      <c r="S86" t="inlineStr">
        <is>
          <t>Forecast confirmation</t>
        </is>
      </c>
      <c r="T86" t="inlineStr">
        <is>
          <t>Distributor</t>
        </is>
      </c>
      <c r="U86" t="inlineStr"/>
      <c r="V86">
        <f>IF(S86="",1,0)</f>
        <v/>
      </c>
      <c r="W86">
        <f>IF(J86="",1,0)</f>
        <v/>
      </c>
      <c r="X86">
        <f>IF(F86="",1,0)</f>
        <v/>
      </c>
      <c r="Y86">
        <f>IF(AND(AND(H86&lt;&gt;"Mass production",H86&lt;&gt;"Lost"),DATEVALUE(Q86)&lt;DATE(2026,10,20)),1,0)</f>
        <v/>
      </c>
      <c r="Z86">
        <f>IF(AND(AND(H86&lt;&gt;"Mass production",H86&lt;&gt;"Lost"),R86&gt;30),1,0)</f>
        <v/>
      </c>
      <c r="AA86">
        <f>IF(COUNTIFS($G$2:$G$247,G86,$F$2:$F$247,F86,$J$2:$J$247,J86,$K$2:$K$247,K86)&gt;1,1,0)</f>
        <v/>
      </c>
      <c r="AB86">
        <f>SUM(V86:AA86)</f>
        <v/>
      </c>
    </row>
    <row r="87">
      <c r="A87" t="inlineStr">
        <is>
          <t>OPP-26085</t>
        </is>
      </c>
      <c r="B87" t="inlineStr">
        <is>
          <t>Quorra Electronics</t>
        </is>
      </c>
      <c r="C87" t="inlineStr">
        <is>
          <t>DACH</t>
        </is>
      </c>
      <c r="D87" t="inlineStr">
        <is>
          <t>Austria</t>
        </is>
      </c>
      <c r="E87" t="inlineStr">
        <is>
          <t>L. Hoffmann</t>
        </is>
      </c>
      <c r="F87" t="inlineStr">
        <is>
          <t>Automotive &amp; C-V2X</t>
        </is>
      </c>
      <c r="G87" t="inlineStr">
        <is>
          <t>5G RedCap</t>
        </is>
      </c>
      <c r="H87" t="inlineStr">
        <is>
          <t>Design-win</t>
        </is>
      </c>
      <c r="I87" t="n">
        <v>0.7</v>
      </c>
      <c r="J87" t="n">
        <v>20000</v>
      </c>
      <c r="K87" t="n">
        <v>39.58</v>
      </c>
      <c r="L87" t="n">
        <v>4</v>
      </c>
      <c r="M87" t="n">
        <v>791600</v>
      </c>
      <c r="N87" t="n">
        <v>3166400</v>
      </c>
      <c r="O87" t="n">
        <v>2216480</v>
      </c>
      <c r="P87" t="inlineStr">
        <is>
          <t>2025-04-10</t>
        </is>
      </c>
      <c r="Q87" t="inlineStr">
        <is>
          <t>2027-04-08</t>
        </is>
      </c>
      <c r="R87" t="n">
        <v>12</v>
      </c>
      <c r="S87" t="inlineStr">
        <is>
          <t>Price negotiation</t>
        </is>
      </c>
      <c r="T87" t="inlineStr">
        <is>
          <t>Distributor</t>
        </is>
      </c>
      <c r="U87" t="inlineStr"/>
      <c r="V87">
        <f>IF(S87="",1,0)</f>
        <v/>
      </c>
      <c r="W87">
        <f>IF(J87="",1,0)</f>
        <v/>
      </c>
      <c r="X87">
        <f>IF(F87="",1,0)</f>
        <v/>
      </c>
      <c r="Y87">
        <f>IF(AND(AND(H87&lt;&gt;"Mass production",H87&lt;&gt;"Lost"),DATEVALUE(Q87)&lt;DATE(2026,10,20)),1,0)</f>
        <v/>
      </c>
      <c r="Z87">
        <f>IF(AND(AND(H87&lt;&gt;"Mass production",H87&lt;&gt;"Lost"),R87&gt;30),1,0)</f>
        <v/>
      </c>
      <c r="AA87">
        <f>IF(COUNTIFS($G$2:$G$247,G87,$F$2:$F$247,F87,$J$2:$J$247,J87,$K$2:$K$247,K87)&gt;1,1,0)</f>
        <v/>
      </c>
      <c r="AB87">
        <f>SUM(V87:AA87)</f>
        <v/>
      </c>
    </row>
    <row r="88">
      <c r="A88" t="inlineStr">
        <is>
          <t>OPP-26086</t>
        </is>
      </c>
      <c r="B88" t="inlineStr">
        <is>
          <t>Quorra Electronics</t>
        </is>
      </c>
      <c r="C88" t="inlineStr">
        <is>
          <t>DACH</t>
        </is>
      </c>
      <c r="D88" t="inlineStr">
        <is>
          <t>Austria</t>
        </is>
      </c>
      <c r="E88" t="inlineStr">
        <is>
          <t>L. Hoffmann</t>
        </is>
      </c>
      <c r="F88" t="inlineStr">
        <is>
          <t>Asset tracking</t>
        </is>
      </c>
      <c r="G88" t="inlineStr">
        <is>
          <t>Wi-Fi / Bluetooth</t>
        </is>
      </c>
      <c r="H88" t="inlineStr">
        <is>
          <t>Mass production</t>
        </is>
      </c>
      <c r="I88" t="n">
        <v>1</v>
      </c>
      <c r="J88" t="n">
        <v>80000</v>
      </c>
      <c r="K88" t="n">
        <v>4.43</v>
      </c>
      <c r="L88" t="n">
        <v>3</v>
      </c>
      <c r="M88" t="n">
        <v>354400</v>
      </c>
      <c r="N88" t="n">
        <v>1063200</v>
      </c>
      <c r="O88" t="n">
        <v>1063200</v>
      </c>
      <c r="P88" t="inlineStr">
        <is>
          <t>2026-05-21</t>
        </is>
      </c>
      <c r="Q88" t="inlineStr">
        <is>
          <t>2026-10-03</t>
        </is>
      </c>
      <c r="R88" t="n">
        <v>14</v>
      </c>
      <c r="S88" t="inlineStr">
        <is>
          <t>Quote revision</t>
        </is>
      </c>
      <c r="T88" t="inlineStr">
        <is>
          <t>Direct</t>
        </is>
      </c>
      <c r="U88" t="inlineStr"/>
      <c r="V88">
        <f>IF(S88="",1,0)</f>
        <v/>
      </c>
      <c r="W88">
        <f>IF(J88="",1,0)</f>
        <v/>
      </c>
      <c r="X88">
        <f>IF(F88="",1,0)</f>
        <v/>
      </c>
      <c r="Y88">
        <f>IF(AND(AND(H88&lt;&gt;"Mass production",H88&lt;&gt;"Lost"),DATEVALUE(Q88)&lt;DATE(2026,10,20)),1,0)</f>
        <v/>
      </c>
      <c r="Z88">
        <f>IF(AND(AND(H88&lt;&gt;"Mass production",H88&lt;&gt;"Lost"),R88&gt;30),1,0)</f>
        <v/>
      </c>
      <c r="AA88">
        <f>IF(COUNTIFS($G$2:$G$247,G88,$F$2:$F$247,F88,$J$2:$J$247,J88,$K$2:$K$247,K88)&gt;1,1,0)</f>
        <v/>
      </c>
      <c r="AB88">
        <f>SUM(V88:AA88)</f>
        <v/>
      </c>
    </row>
    <row r="89">
      <c r="A89" t="inlineStr">
        <is>
          <t>OPP-26087</t>
        </is>
      </c>
      <c r="B89" t="inlineStr">
        <is>
          <t>Zenit Industrial</t>
        </is>
      </c>
      <c r="C89" t="inlineStr">
        <is>
          <t>Middle East &amp; Africa</t>
        </is>
      </c>
      <c r="D89" t="inlineStr">
        <is>
          <t>UAE</t>
        </is>
      </c>
      <c r="E89" t="inlineStr">
        <is>
          <t>Y. Cohen</t>
        </is>
      </c>
      <c r="F89" t="inlineStr">
        <is>
          <t>Asset tracking</t>
        </is>
      </c>
      <c r="G89" t="inlineStr">
        <is>
          <t>GNSS</t>
        </is>
      </c>
      <c r="H89" t="inlineStr">
        <is>
          <t>Lost</t>
        </is>
      </c>
      <c r="I89" t="n">
        <v>0</v>
      </c>
      <c r="J89" t="n">
        <v>3000</v>
      </c>
      <c r="K89" t="n">
        <v>8.42</v>
      </c>
      <c r="L89" t="n">
        <v>3</v>
      </c>
      <c r="M89" t="n">
        <v>25260</v>
      </c>
      <c r="N89" t="n">
        <v>75780</v>
      </c>
      <c r="O89" t="n">
        <v>0</v>
      </c>
      <c r="P89" t="inlineStr">
        <is>
          <t>2026-03-13</t>
        </is>
      </c>
      <c r="Q89" t="inlineStr">
        <is>
          <t>2026-10-11</t>
        </is>
      </c>
      <c r="R89" t="n">
        <v>2</v>
      </c>
      <c r="S89" t="inlineStr">
        <is>
          <t>Quote revision</t>
        </is>
      </c>
      <c r="T89" t="inlineStr">
        <is>
          <t>Tradeshow</t>
        </is>
      </c>
      <c r="U89" t="inlineStr">
        <is>
          <t>Technical fit</t>
        </is>
      </c>
      <c r="V89">
        <f>IF(S89="",1,0)</f>
        <v/>
      </c>
      <c r="W89">
        <f>IF(J89="",1,0)</f>
        <v/>
      </c>
      <c r="X89">
        <f>IF(F89="",1,0)</f>
        <v/>
      </c>
      <c r="Y89">
        <f>IF(AND(AND(H89&lt;&gt;"Mass production",H89&lt;&gt;"Lost"),DATEVALUE(Q89)&lt;DATE(2026,10,20)),1,0)</f>
        <v/>
      </c>
      <c r="Z89">
        <f>IF(AND(AND(H89&lt;&gt;"Mass production",H89&lt;&gt;"Lost"),R89&gt;30),1,0)</f>
        <v/>
      </c>
      <c r="AA89">
        <f>IF(COUNTIFS($G$2:$G$247,G89,$F$2:$F$247,F89,$J$2:$J$247,J89,$K$2:$K$247,K89)&gt;1,1,0)</f>
        <v/>
      </c>
      <c r="AB89">
        <f>SUM(V89:AA89)</f>
        <v/>
      </c>
    </row>
    <row r="90">
      <c r="A90" t="inlineStr">
        <is>
          <t>OPP-26088</t>
        </is>
      </c>
      <c r="B90" t="inlineStr">
        <is>
          <t>Bluecell Labs</t>
        </is>
      </c>
      <c r="C90" t="inlineStr">
        <is>
          <t>Southern Europe</t>
        </is>
      </c>
      <c r="D90" t="inlineStr">
        <is>
          <t>Portugal</t>
        </is>
      </c>
      <c r="E90" t="inlineStr">
        <is>
          <t>A. Garcia</t>
        </is>
      </c>
      <c r="F90" t="inlineStr">
        <is>
          <t>POS &amp; payments</t>
        </is>
      </c>
      <c r="G90" t="inlineStr">
        <is>
          <t>Wi-Fi / Bluetooth</t>
        </is>
      </c>
      <c r="H90" t="inlineStr">
        <is>
          <t>Lead</t>
        </is>
      </c>
      <c r="I90" t="n">
        <v>0.05</v>
      </c>
      <c r="J90" t="n">
        <v>2000</v>
      </c>
      <c r="K90" t="n">
        <v>2.6</v>
      </c>
      <c r="L90" t="n">
        <v>5</v>
      </c>
      <c r="M90" t="n">
        <v>5200</v>
      </c>
      <c r="N90" t="n">
        <v>26000</v>
      </c>
      <c r="O90" t="n">
        <v>1300</v>
      </c>
      <c r="P90" t="inlineStr">
        <is>
          <t>2026-01-02</t>
        </is>
      </c>
      <c r="Q90" t="inlineStr">
        <is>
          <t>2027-08-09</t>
        </is>
      </c>
      <c r="R90" t="n">
        <v>28</v>
      </c>
      <c r="S90" t="inlineStr">
        <is>
          <t>Pilot build follow-up</t>
        </is>
      </c>
      <c r="T90" t="inlineStr">
        <is>
          <t>Distributor</t>
        </is>
      </c>
      <c r="U90" t="inlineStr"/>
      <c r="V90">
        <f>IF(S90="",1,0)</f>
        <v/>
      </c>
      <c r="W90">
        <f>IF(J90="",1,0)</f>
        <v/>
      </c>
      <c r="X90">
        <f>IF(F90="",1,0)</f>
        <v/>
      </c>
      <c r="Y90">
        <f>IF(AND(AND(H90&lt;&gt;"Mass production",H90&lt;&gt;"Lost"),DATEVALUE(Q90)&lt;DATE(2026,10,20)),1,0)</f>
        <v/>
      </c>
      <c r="Z90">
        <f>IF(AND(AND(H90&lt;&gt;"Mass production",H90&lt;&gt;"Lost"),R90&gt;30),1,0)</f>
        <v/>
      </c>
      <c r="AA90">
        <f>IF(COUNTIFS($G$2:$G$247,G90,$F$2:$F$247,F90,$J$2:$J$247,J90,$K$2:$K$247,K90)&gt;1,1,0)</f>
        <v/>
      </c>
      <c r="AB90">
        <f>SUM(V90:AA90)</f>
        <v/>
      </c>
    </row>
    <row r="91">
      <c r="A91" t="inlineStr">
        <is>
          <t>OPP-26089</t>
        </is>
      </c>
      <c r="B91" t="inlineStr">
        <is>
          <t>Ferro Energy</t>
        </is>
      </c>
      <c r="C91" t="inlineStr">
        <is>
          <t>France &amp; Benelux</t>
        </is>
      </c>
      <c r="D91" t="inlineStr">
        <is>
          <t>Belgium</t>
        </is>
      </c>
      <c r="E91" t="inlineStr">
        <is>
          <t>C. Martin</t>
        </is>
      </c>
      <c r="F91" t="inlineStr">
        <is>
          <t>Healthcare</t>
        </is>
      </c>
      <c r="G91" t="inlineStr">
        <is>
          <t>LTE-M / NB-IoT</t>
        </is>
      </c>
      <c r="H91" t="inlineStr">
        <is>
          <t>Sample / Evaluation</t>
        </is>
      </c>
      <c r="I91" t="n">
        <v>0.2</v>
      </c>
      <c r="J91" t="n">
        <v>2000</v>
      </c>
      <c r="K91" t="n">
        <v>5.72</v>
      </c>
      <c r="L91" t="n">
        <v>3</v>
      </c>
      <c r="M91" t="n">
        <v>11440</v>
      </c>
      <c r="N91" t="n">
        <v>34320</v>
      </c>
      <c r="O91" t="n">
        <v>6864</v>
      </c>
      <c r="P91" t="inlineStr">
        <is>
          <t>2025-07-07</t>
        </is>
      </c>
      <c r="Q91" t="inlineStr">
        <is>
          <t>2027-04-10</t>
        </is>
      </c>
      <c r="R91" t="n">
        <v>7</v>
      </c>
      <c r="S91" t="inlineStr">
        <is>
          <t>Forecast confirmation</t>
        </is>
      </c>
      <c r="T91" t="inlineStr">
        <is>
          <t>Tradeshow</t>
        </is>
      </c>
      <c r="U91" t="inlineStr"/>
      <c r="V91">
        <f>IF(S91="",1,0)</f>
        <v/>
      </c>
      <c r="W91">
        <f>IF(J91="",1,0)</f>
        <v/>
      </c>
      <c r="X91">
        <f>IF(F91="",1,0)</f>
        <v/>
      </c>
      <c r="Y91">
        <f>IF(AND(AND(H91&lt;&gt;"Mass production",H91&lt;&gt;"Lost"),DATEVALUE(Q91)&lt;DATE(2026,10,20)),1,0)</f>
        <v/>
      </c>
      <c r="Z91">
        <f>IF(AND(AND(H91&lt;&gt;"Mass production",H91&lt;&gt;"Lost"),R91&gt;30),1,0)</f>
        <v/>
      </c>
      <c r="AA91">
        <f>IF(COUNTIFS($G$2:$G$247,G91,$F$2:$F$247,F91,$J$2:$J$247,J91,$K$2:$K$247,K91)&gt;1,1,0)</f>
        <v/>
      </c>
      <c r="AB91">
        <f>SUM(V91:AA91)</f>
        <v/>
      </c>
    </row>
    <row r="92">
      <c r="A92" t="inlineStr">
        <is>
          <t>OPP-26090</t>
        </is>
      </c>
      <c r="B92" t="inlineStr">
        <is>
          <t>Alpenlink Electronics</t>
        </is>
      </c>
      <c r="C92" t="inlineStr">
        <is>
          <t>DACH</t>
        </is>
      </c>
      <c r="D92" t="inlineStr">
        <is>
          <t>Germany</t>
        </is>
      </c>
      <c r="E92" t="inlineStr">
        <is>
          <t>J. Weber</t>
        </is>
      </c>
      <c r="F92" t="inlineStr">
        <is>
          <t>Smart metering</t>
        </is>
      </c>
      <c r="G92" t="inlineStr">
        <is>
          <t>LTE Cat 1 bis</t>
        </is>
      </c>
      <c r="H92" t="inlineStr">
        <is>
          <t>Qualified</t>
        </is>
      </c>
      <c r="I92" t="n">
        <v>0.1</v>
      </c>
      <c r="J92" t="n">
        <v>3000</v>
      </c>
      <c r="K92" t="n">
        <v>9.300000000000001</v>
      </c>
      <c r="L92" t="n">
        <v>3</v>
      </c>
      <c r="M92" t="n">
        <v>27900</v>
      </c>
      <c r="N92" t="n">
        <v>83700</v>
      </c>
      <c r="O92" t="n">
        <v>8370</v>
      </c>
      <c r="P92" t="inlineStr">
        <is>
          <t>2026-01-26</t>
        </is>
      </c>
      <c r="Q92" t="inlineStr">
        <is>
          <t>2027-05-06</t>
        </is>
      </c>
      <c r="R92" t="n">
        <v>1</v>
      </c>
      <c r="S92" t="inlineStr">
        <is>
          <t>Pilot build follow-up</t>
        </is>
      </c>
      <c r="T92" t="inlineStr">
        <is>
          <t>FAE referral</t>
        </is>
      </c>
      <c r="U92" t="inlineStr"/>
      <c r="V92">
        <f>IF(S92="",1,0)</f>
        <v/>
      </c>
      <c r="W92">
        <f>IF(J92="",1,0)</f>
        <v/>
      </c>
      <c r="X92">
        <f>IF(F92="",1,0)</f>
        <v/>
      </c>
      <c r="Y92">
        <f>IF(AND(AND(H92&lt;&gt;"Mass production",H92&lt;&gt;"Lost"),DATEVALUE(Q92)&lt;DATE(2026,10,20)),1,0)</f>
        <v/>
      </c>
      <c r="Z92">
        <f>IF(AND(AND(H92&lt;&gt;"Mass production",H92&lt;&gt;"Lost"),R92&gt;30),1,0)</f>
        <v/>
      </c>
      <c r="AA92">
        <f>IF(COUNTIFS($G$2:$G$247,G92,$F$2:$F$247,F92,$J$2:$J$247,J92,$K$2:$K$247,K92)&gt;1,1,0)</f>
        <v/>
      </c>
      <c r="AB92">
        <f>SUM(V92:AA92)</f>
        <v/>
      </c>
    </row>
    <row r="93">
      <c r="A93" t="inlineStr">
        <is>
          <t>OPP-26091</t>
        </is>
      </c>
      <c r="B93" t="inlineStr">
        <is>
          <t>Stellar Energy</t>
        </is>
      </c>
      <c r="C93" t="inlineStr">
        <is>
          <t>Middle East &amp; Africa</t>
        </is>
      </c>
      <c r="D93" t="inlineStr">
        <is>
          <t>South Africa</t>
        </is>
      </c>
      <c r="E93" t="inlineStr">
        <is>
          <t>O. Demir</t>
        </is>
      </c>
      <c r="F93" t="inlineStr">
        <is>
          <t>Telematics</t>
        </is>
      </c>
      <c r="G93" t="inlineStr">
        <is>
          <t>Wi-Fi / Bluetooth</t>
        </is>
      </c>
      <c r="H93" t="inlineStr">
        <is>
          <t>Sample / Evaluation</t>
        </is>
      </c>
      <c r="I93" t="n">
        <v>0.2</v>
      </c>
      <c r="J93" t="inlineStr"/>
      <c r="K93" t="n">
        <v>5.66</v>
      </c>
      <c r="L93" t="n">
        <v>5</v>
      </c>
      <c r="M93" t="n">
        <v>0</v>
      </c>
      <c r="N93" t="n">
        <v>0</v>
      </c>
      <c r="O93" t="n">
        <v>0</v>
      </c>
      <c r="P93" t="inlineStr">
        <is>
          <t>2025-11-14</t>
        </is>
      </c>
      <c r="Q93" t="inlineStr">
        <is>
          <t>2026-12-16</t>
        </is>
      </c>
      <c r="R93" t="n">
        <v>94</v>
      </c>
      <c r="S93" t="inlineStr">
        <is>
          <t>Pilot build follow-up</t>
        </is>
      </c>
      <c r="T93" t="inlineStr">
        <is>
          <t>Distributor</t>
        </is>
      </c>
      <c r="U93" t="inlineStr"/>
      <c r="V93">
        <f>IF(S93="",1,0)</f>
        <v/>
      </c>
      <c r="W93">
        <f>IF(J93="",1,0)</f>
        <v/>
      </c>
      <c r="X93">
        <f>IF(F93="",1,0)</f>
        <v/>
      </c>
      <c r="Y93">
        <f>IF(AND(AND(H93&lt;&gt;"Mass production",H93&lt;&gt;"Lost"),DATEVALUE(Q93)&lt;DATE(2026,10,20)),1,0)</f>
        <v/>
      </c>
      <c r="Z93">
        <f>IF(AND(AND(H93&lt;&gt;"Mass production",H93&lt;&gt;"Lost"),R93&gt;30),1,0)</f>
        <v/>
      </c>
      <c r="AA93">
        <f>IF(COUNTIFS($G$2:$G$247,G93,$F$2:$F$247,F93,$J$2:$J$247,J93,$K$2:$K$247,K93)&gt;1,1,0)</f>
        <v/>
      </c>
      <c r="AB93">
        <f>SUM(V93:AA93)</f>
        <v/>
      </c>
    </row>
    <row r="94">
      <c r="A94" t="inlineStr">
        <is>
          <t>OPP-26092</t>
        </is>
      </c>
      <c r="B94" t="inlineStr">
        <is>
          <t>Nordwind Telematics</t>
        </is>
      </c>
      <c r="C94" t="inlineStr">
        <is>
          <t>Nordics</t>
        </is>
      </c>
      <c r="D94" t="inlineStr">
        <is>
          <t>Sweden</t>
        </is>
      </c>
      <c r="E94" t="inlineStr">
        <is>
          <t>E. Lindqvist</t>
        </is>
      </c>
      <c r="F94" t="inlineStr">
        <is>
          <t>Smart home &amp; security</t>
        </is>
      </c>
      <c r="G94" t="inlineStr">
        <is>
          <t>5G eMBB</t>
        </is>
      </c>
      <c r="H94" t="inlineStr">
        <is>
          <t>Design-in</t>
        </is>
      </c>
      <c r="I94" t="n">
        <v>0.4</v>
      </c>
      <c r="J94" t="n">
        <v>15000</v>
      </c>
      <c r="K94" t="n">
        <v>96.83</v>
      </c>
      <c r="L94" t="n">
        <v>2</v>
      </c>
      <c r="M94" t="n">
        <v>1452450</v>
      </c>
      <c r="N94" t="n">
        <v>2904900</v>
      </c>
      <c r="O94" t="n">
        <v>1161960</v>
      </c>
      <c r="P94" t="inlineStr">
        <is>
          <t>2026-08-10</t>
        </is>
      </c>
      <c r="Q94" t="inlineStr">
        <is>
          <t>2027-02-01</t>
        </is>
      </c>
      <c r="R94" t="n">
        <v>7</v>
      </c>
      <c r="S94" t="inlineStr">
        <is>
          <t>Quote revision</t>
        </is>
      </c>
      <c r="T94" t="inlineStr">
        <is>
          <t>FAE referral</t>
        </is>
      </c>
      <c r="U94" t="inlineStr"/>
      <c r="V94">
        <f>IF(S94="",1,0)</f>
        <v/>
      </c>
      <c r="W94">
        <f>IF(J94="",1,0)</f>
        <v/>
      </c>
      <c r="X94">
        <f>IF(F94="",1,0)</f>
        <v/>
      </c>
      <c r="Y94">
        <f>IF(AND(AND(H94&lt;&gt;"Mass production",H94&lt;&gt;"Lost"),DATEVALUE(Q94)&lt;DATE(2026,10,20)),1,0)</f>
        <v/>
      </c>
      <c r="Z94">
        <f>IF(AND(AND(H94&lt;&gt;"Mass production",H94&lt;&gt;"Lost"),R94&gt;30),1,0)</f>
        <v/>
      </c>
      <c r="AA94">
        <f>IF(COUNTIFS($G$2:$G$247,G94,$F$2:$F$247,F94,$J$2:$J$247,J94,$K$2:$K$247,K94)&gt;1,1,0)</f>
        <v/>
      </c>
      <c r="AB94">
        <f>SUM(V94:AA94)</f>
        <v/>
      </c>
    </row>
    <row r="95">
      <c r="A95" t="inlineStr">
        <is>
          <t>OPP-26093</t>
        </is>
      </c>
      <c r="B95" t="inlineStr">
        <is>
          <t>Alpenlink Electronics</t>
        </is>
      </c>
      <c r="C95" t="inlineStr">
        <is>
          <t>DACH</t>
        </is>
      </c>
      <c r="D95" t="inlineStr">
        <is>
          <t>Germany</t>
        </is>
      </c>
      <c r="E95" t="inlineStr">
        <is>
          <t>L. Hoffmann</t>
        </is>
      </c>
      <c r="F95" t="inlineStr">
        <is>
          <t>Automotive &amp; C-V2X</t>
        </is>
      </c>
      <c r="G95" t="inlineStr">
        <is>
          <t>LTE-M / NB-IoT</t>
        </is>
      </c>
      <c r="H95" t="inlineStr">
        <is>
          <t>Sample / Evaluation</t>
        </is>
      </c>
      <c r="I95" t="n">
        <v>0.2</v>
      </c>
      <c r="J95" t="n">
        <v>50000</v>
      </c>
      <c r="K95" t="n">
        <v>5.65</v>
      </c>
      <c r="L95" t="n">
        <v>3</v>
      </c>
      <c r="M95" t="n">
        <v>282500</v>
      </c>
      <c r="N95" t="n">
        <v>847500</v>
      </c>
      <c r="O95" t="n">
        <v>169500</v>
      </c>
      <c r="P95" t="inlineStr">
        <is>
          <t>2025-09-24</t>
        </is>
      </c>
      <c r="Q95" t="inlineStr">
        <is>
          <t>2027-06-20</t>
        </is>
      </c>
      <c r="R95" t="n">
        <v>4</v>
      </c>
      <c r="S95" t="inlineStr">
        <is>
          <t>Quote revision</t>
        </is>
      </c>
      <c r="T95" t="inlineStr">
        <is>
          <t>FAE referral</t>
        </is>
      </c>
      <c r="U95" t="inlineStr"/>
      <c r="V95">
        <f>IF(S95="",1,0)</f>
        <v/>
      </c>
      <c r="W95">
        <f>IF(J95="",1,0)</f>
        <v/>
      </c>
      <c r="X95">
        <f>IF(F95="",1,0)</f>
        <v/>
      </c>
      <c r="Y95">
        <f>IF(AND(AND(H95&lt;&gt;"Mass production",H95&lt;&gt;"Lost"),DATEVALUE(Q95)&lt;DATE(2026,10,20)),1,0)</f>
        <v/>
      </c>
      <c r="Z95">
        <f>IF(AND(AND(H95&lt;&gt;"Mass production",H95&lt;&gt;"Lost"),R95&gt;30),1,0)</f>
        <v/>
      </c>
      <c r="AA95">
        <f>IF(COUNTIFS($G$2:$G$247,G95,$F$2:$F$247,F95,$J$2:$J$247,J95,$K$2:$K$247,K95)&gt;1,1,0)</f>
        <v/>
      </c>
      <c r="AB95">
        <f>SUM(V95:AA95)</f>
        <v/>
      </c>
    </row>
    <row r="96">
      <c r="A96" t="inlineStr">
        <is>
          <t>OPP-26094</t>
        </is>
      </c>
      <c r="B96" t="inlineStr">
        <is>
          <t>Rhenus Health</t>
        </is>
      </c>
      <c r="C96" t="inlineStr">
        <is>
          <t>Nordics</t>
        </is>
      </c>
      <c r="D96" t="inlineStr">
        <is>
          <t>Finland</t>
        </is>
      </c>
      <c r="E96" t="inlineStr">
        <is>
          <t>E. Lindqvist</t>
        </is>
      </c>
      <c r="F96" t="inlineStr">
        <is>
          <t>Telematics</t>
        </is>
      </c>
      <c r="G96" t="inlineStr">
        <is>
          <t>LTE Cat 1 bis</t>
        </is>
      </c>
      <c r="H96" t="inlineStr">
        <is>
          <t>Design-in</t>
        </is>
      </c>
      <c r="I96" t="n">
        <v>0.4</v>
      </c>
      <c r="J96" t="n">
        <v>8000</v>
      </c>
      <c r="K96" t="n">
        <v>10.14</v>
      </c>
      <c r="L96" t="n">
        <v>5</v>
      </c>
      <c r="M96" t="n">
        <v>81120</v>
      </c>
      <c r="N96" t="n">
        <v>405600</v>
      </c>
      <c r="O96" t="n">
        <v>162240</v>
      </c>
      <c r="P96" t="inlineStr">
        <is>
          <t>2025-04-27</t>
        </is>
      </c>
      <c r="Q96" t="inlineStr">
        <is>
          <t>2027-04-03</t>
        </is>
      </c>
      <c r="R96" t="n">
        <v>8</v>
      </c>
      <c r="S96" t="inlineStr">
        <is>
          <t>Price negotiation</t>
        </is>
      </c>
      <c r="T96" t="inlineStr">
        <is>
          <t>Direct</t>
        </is>
      </c>
      <c r="U96" t="inlineStr"/>
      <c r="V96">
        <f>IF(S96="",1,0)</f>
        <v/>
      </c>
      <c r="W96">
        <f>IF(J96="",1,0)</f>
        <v/>
      </c>
      <c r="X96">
        <f>IF(F96="",1,0)</f>
        <v/>
      </c>
      <c r="Y96">
        <f>IF(AND(AND(H96&lt;&gt;"Mass production",H96&lt;&gt;"Lost"),DATEVALUE(Q96)&lt;DATE(2026,10,20)),1,0)</f>
        <v/>
      </c>
      <c r="Z96">
        <f>IF(AND(AND(H96&lt;&gt;"Mass production",H96&lt;&gt;"Lost"),R96&gt;30),1,0)</f>
        <v/>
      </c>
      <c r="AA96">
        <f>IF(COUNTIFS($G$2:$G$247,G96,$F$2:$F$247,F96,$J$2:$J$247,J96,$K$2:$K$247,K96)&gt;1,1,0)</f>
        <v/>
      </c>
      <c r="AB96">
        <f>SUM(V96:AA96)</f>
        <v/>
      </c>
    </row>
    <row r="97">
      <c r="A97" t="inlineStr">
        <is>
          <t>OPP-26095</t>
        </is>
      </c>
      <c r="B97" t="inlineStr">
        <is>
          <t>Helix Tracking</t>
        </is>
      </c>
      <c r="C97" t="inlineStr">
        <is>
          <t>UK &amp; Ireland</t>
        </is>
      </c>
      <c r="D97" t="inlineStr">
        <is>
          <t>United Kingdom</t>
        </is>
      </c>
      <c r="E97" t="inlineStr">
        <is>
          <t>S. Clarke</t>
        </is>
      </c>
      <c r="F97" t="inlineStr">
        <is>
          <t>Healthcare</t>
        </is>
      </c>
      <c r="G97" t="inlineStr">
        <is>
          <t>GNSS</t>
        </is>
      </c>
      <c r="H97" t="inlineStr">
        <is>
          <t>Sample / Evaluation</t>
        </is>
      </c>
      <c r="I97" t="n">
        <v>0.2</v>
      </c>
      <c r="J97" t="n">
        <v>20000</v>
      </c>
      <c r="K97" t="n">
        <v>5.25</v>
      </c>
      <c r="L97" t="n">
        <v>5</v>
      </c>
      <c r="M97" t="n">
        <v>105000</v>
      </c>
      <c r="N97" t="n">
        <v>525000</v>
      </c>
      <c r="O97" t="n">
        <v>105000</v>
      </c>
      <c r="P97" t="inlineStr">
        <is>
          <t>2025-11-28</t>
        </is>
      </c>
      <c r="Q97" t="inlineStr">
        <is>
          <t>2027-07-10</t>
        </is>
      </c>
      <c r="R97" t="n">
        <v>5</v>
      </c>
      <c r="S97" t="inlineStr">
        <is>
          <t>Forecast confirmation</t>
        </is>
      </c>
      <c r="T97" t="inlineStr">
        <is>
          <t>Tradeshow</t>
        </is>
      </c>
      <c r="U97" t="inlineStr"/>
      <c r="V97">
        <f>IF(S97="",1,0)</f>
        <v/>
      </c>
      <c r="W97">
        <f>IF(J97="",1,0)</f>
        <v/>
      </c>
      <c r="X97">
        <f>IF(F97="",1,0)</f>
        <v/>
      </c>
      <c r="Y97">
        <f>IF(AND(AND(H97&lt;&gt;"Mass production",H97&lt;&gt;"Lost"),DATEVALUE(Q97)&lt;DATE(2026,10,20)),1,0)</f>
        <v/>
      </c>
      <c r="Z97">
        <f>IF(AND(AND(H97&lt;&gt;"Mass production",H97&lt;&gt;"Lost"),R97&gt;30),1,0)</f>
        <v/>
      </c>
      <c r="AA97">
        <f>IF(COUNTIFS($G$2:$G$247,G97,$F$2:$F$247,F97,$J$2:$J$247,J97,$K$2:$K$247,K97)&gt;1,1,0)</f>
        <v/>
      </c>
      <c r="AB97">
        <f>SUM(V97:AA97)</f>
        <v/>
      </c>
    </row>
    <row r="98">
      <c r="A98" t="inlineStr">
        <is>
          <t>OPP-26096</t>
        </is>
      </c>
      <c r="B98" t="inlineStr">
        <is>
          <t>Vector Devices</t>
        </is>
      </c>
      <c r="C98" t="inlineStr">
        <is>
          <t>UK &amp; Ireland</t>
        </is>
      </c>
      <c r="D98" t="inlineStr">
        <is>
          <t>United Kingdom</t>
        </is>
      </c>
      <c r="E98" t="inlineStr">
        <is>
          <t>S. Clarke</t>
        </is>
      </c>
      <c r="F98" t="inlineStr">
        <is>
          <t>Smart home &amp; security</t>
        </is>
      </c>
      <c r="G98" t="inlineStr">
        <is>
          <t>Smart module</t>
        </is>
      </c>
      <c r="H98" t="inlineStr">
        <is>
          <t>Sample / Evaluation</t>
        </is>
      </c>
      <c r="I98" t="n">
        <v>0.2</v>
      </c>
      <c r="J98" t="n">
        <v>2000</v>
      </c>
      <c r="K98" t="n">
        <v>88.59999999999999</v>
      </c>
      <c r="L98" t="n">
        <v>5</v>
      </c>
      <c r="M98" t="n">
        <v>177200</v>
      </c>
      <c r="N98" t="n">
        <v>886000</v>
      </c>
      <c r="O98" t="n">
        <v>177200</v>
      </c>
      <c r="P98" t="inlineStr">
        <is>
          <t>2025-06-02</t>
        </is>
      </c>
      <c r="Q98" t="inlineStr">
        <is>
          <t>2027-01-23</t>
        </is>
      </c>
      <c r="R98" t="n">
        <v>10</v>
      </c>
      <c r="S98" t="inlineStr">
        <is>
          <t>Quote revision</t>
        </is>
      </c>
      <c r="T98" t="inlineStr">
        <is>
          <t>Website</t>
        </is>
      </c>
      <c r="U98" t="inlineStr"/>
      <c r="V98">
        <f>IF(S98="",1,0)</f>
        <v/>
      </c>
      <c r="W98">
        <f>IF(J98="",1,0)</f>
        <v/>
      </c>
      <c r="X98">
        <f>IF(F98="",1,0)</f>
        <v/>
      </c>
      <c r="Y98">
        <f>IF(AND(AND(H98&lt;&gt;"Mass production",H98&lt;&gt;"Lost"),DATEVALUE(Q98)&lt;DATE(2026,10,20)),1,0)</f>
        <v/>
      </c>
      <c r="Z98">
        <f>IF(AND(AND(H98&lt;&gt;"Mass production",H98&lt;&gt;"Lost"),R98&gt;30),1,0)</f>
        <v/>
      </c>
      <c r="AA98">
        <f>IF(COUNTIFS($G$2:$G$247,G98,$F$2:$F$247,F98,$J$2:$J$247,J98,$K$2:$K$247,K98)&gt;1,1,0)</f>
        <v/>
      </c>
      <c r="AB98">
        <f>SUM(V98:AA98)</f>
        <v/>
      </c>
    </row>
    <row r="99">
      <c r="A99" t="inlineStr">
        <is>
          <t>OPP-26097</t>
        </is>
      </c>
      <c r="B99" t="inlineStr">
        <is>
          <t>Iberix Electronics</t>
        </is>
      </c>
      <c r="C99" t="inlineStr">
        <is>
          <t>Middle East &amp; Africa</t>
        </is>
      </c>
      <c r="D99" t="inlineStr">
        <is>
          <t>UAE</t>
        </is>
      </c>
      <c r="E99" t="inlineStr">
        <is>
          <t>O. Demir</t>
        </is>
      </c>
      <c r="F99" t="inlineStr">
        <is>
          <t>Smart metering</t>
        </is>
      </c>
      <c r="G99" t="inlineStr">
        <is>
          <t>5G RedCap</t>
        </is>
      </c>
      <c r="H99" t="inlineStr">
        <is>
          <t>Lost</t>
        </is>
      </c>
      <c r="I99" t="n">
        <v>0</v>
      </c>
      <c r="J99" t="n">
        <v>30000</v>
      </c>
      <c r="K99" t="n">
        <v>42.58</v>
      </c>
      <c r="L99" t="n">
        <v>3</v>
      </c>
      <c r="M99" t="n">
        <v>1277400</v>
      </c>
      <c r="N99" t="n">
        <v>3832200</v>
      </c>
      <c r="O99" t="n">
        <v>0</v>
      </c>
      <c r="P99" t="inlineStr">
        <is>
          <t>2025-07-29</t>
        </is>
      </c>
      <c r="Q99" t="inlineStr">
        <is>
          <t>2026-02-11</t>
        </is>
      </c>
      <c r="R99" t="n">
        <v>11</v>
      </c>
      <c r="S99" t="inlineStr">
        <is>
          <t>Quote revision</t>
        </is>
      </c>
      <c r="T99" t="inlineStr">
        <is>
          <t>Distributor</t>
        </is>
      </c>
      <c r="U99" t="inlineStr">
        <is>
          <t>Technical fit</t>
        </is>
      </c>
      <c r="V99">
        <f>IF(S99="",1,0)</f>
        <v/>
      </c>
      <c r="W99">
        <f>IF(J99="",1,0)</f>
        <v/>
      </c>
      <c r="X99">
        <f>IF(F99="",1,0)</f>
        <v/>
      </c>
      <c r="Y99">
        <f>IF(AND(AND(H99&lt;&gt;"Mass production",H99&lt;&gt;"Lost"),DATEVALUE(Q99)&lt;DATE(2026,10,20)),1,0)</f>
        <v/>
      </c>
      <c r="Z99">
        <f>IF(AND(AND(H99&lt;&gt;"Mass production",H99&lt;&gt;"Lost"),R99&gt;30),1,0)</f>
        <v/>
      </c>
      <c r="AA99">
        <f>IF(COUNTIFS($G$2:$G$247,G99,$F$2:$F$247,F99,$J$2:$J$247,J99,$K$2:$K$247,K99)&gt;1,1,0)</f>
        <v/>
      </c>
      <c r="AB99">
        <f>SUM(V99:AA99)</f>
        <v/>
      </c>
    </row>
    <row r="100">
      <c r="A100" t="inlineStr">
        <is>
          <t>OPP-26098</t>
        </is>
      </c>
      <c r="B100" t="inlineStr">
        <is>
          <t>Quorra Mobility</t>
        </is>
      </c>
      <c r="C100" t="inlineStr">
        <is>
          <t>France &amp; Benelux</t>
        </is>
      </c>
      <c r="D100" t="inlineStr">
        <is>
          <t>Netherlands</t>
        </is>
      </c>
      <c r="E100" t="inlineStr">
        <is>
          <t>B. de Vries</t>
        </is>
      </c>
      <c r="F100" t="inlineStr">
        <is>
          <t>Telematics</t>
        </is>
      </c>
      <c r="G100" t="inlineStr">
        <is>
          <t>LTE-M / NB-IoT</t>
        </is>
      </c>
      <c r="H100" t="inlineStr">
        <is>
          <t>Design-in</t>
        </is>
      </c>
      <c r="I100" t="n">
        <v>0.4</v>
      </c>
      <c r="J100" t="n">
        <v>5000</v>
      </c>
      <c r="K100" t="n">
        <v>6.44</v>
      </c>
      <c r="L100" t="n">
        <v>4</v>
      </c>
      <c r="M100" t="n">
        <v>32200</v>
      </c>
      <c r="N100" t="n">
        <v>128800</v>
      </c>
      <c r="O100" t="n">
        <v>51520</v>
      </c>
      <c r="P100" t="inlineStr">
        <is>
          <t>2025-04-03</t>
        </is>
      </c>
      <c r="Q100" t="inlineStr">
        <is>
          <t>2027-03-04</t>
        </is>
      </c>
      <c r="R100" t="n">
        <v>26</v>
      </c>
      <c r="S100" t="inlineStr">
        <is>
          <t>Certification plan</t>
        </is>
      </c>
      <c r="T100" t="inlineStr">
        <is>
          <t>FAE referral</t>
        </is>
      </c>
      <c r="U100" t="inlineStr"/>
      <c r="V100">
        <f>IF(S100="",1,0)</f>
        <v/>
      </c>
      <c r="W100">
        <f>IF(J100="",1,0)</f>
        <v/>
      </c>
      <c r="X100">
        <f>IF(F100="",1,0)</f>
        <v/>
      </c>
      <c r="Y100">
        <f>IF(AND(AND(H100&lt;&gt;"Mass production",H100&lt;&gt;"Lost"),DATEVALUE(Q100)&lt;DATE(2026,10,20)),1,0)</f>
        <v/>
      </c>
      <c r="Z100">
        <f>IF(AND(AND(H100&lt;&gt;"Mass production",H100&lt;&gt;"Lost"),R100&gt;30),1,0)</f>
        <v/>
      </c>
      <c r="AA100">
        <f>IF(COUNTIFS($G$2:$G$247,G100,$F$2:$F$247,F100,$J$2:$J$247,J100,$K$2:$K$247,K100)&gt;1,1,0)</f>
        <v/>
      </c>
      <c r="AB100">
        <f>SUM(V100:AA100)</f>
        <v/>
      </c>
    </row>
    <row r="101">
      <c r="A101" t="inlineStr">
        <is>
          <t>OPP-26099</t>
        </is>
      </c>
      <c r="B101" t="inlineStr">
        <is>
          <t>Orbis Systems</t>
        </is>
      </c>
      <c r="C101" t="inlineStr">
        <is>
          <t>France &amp; Benelux</t>
        </is>
      </c>
      <c r="D101" t="inlineStr">
        <is>
          <t>Belgium</t>
        </is>
      </c>
      <c r="E101" t="inlineStr">
        <is>
          <t>B. de Vries</t>
        </is>
      </c>
      <c r="F101" t="inlineStr">
        <is>
          <t>Smart home &amp; security</t>
        </is>
      </c>
      <c r="G101" t="inlineStr">
        <is>
          <t>LTE Cat 1 bis</t>
        </is>
      </c>
      <c r="H101" t="inlineStr">
        <is>
          <t>Qualified</t>
        </is>
      </c>
      <c r="I101" t="n">
        <v>0.1</v>
      </c>
      <c r="J101" t="n">
        <v>8000</v>
      </c>
      <c r="K101" t="n">
        <v>10.2</v>
      </c>
      <c r="L101" t="n">
        <v>4</v>
      </c>
      <c r="M101" t="n">
        <v>81600</v>
      </c>
      <c r="N101" t="n">
        <v>326400</v>
      </c>
      <c r="O101" t="n">
        <v>32640</v>
      </c>
      <c r="P101" t="inlineStr">
        <is>
          <t>2025-11-10</t>
        </is>
      </c>
      <c r="Q101" t="inlineStr">
        <is>
          <t>2027-05-13</t>
        </is>
      </c>
      <c r="R101" t="n">
        <v>5</v>
      </c>
      <c r="S101" t="inlineStr">
        <is>
          <t>Forecast confirmation</t>
        </is>
      </c>
      <c r="T101" t="inlineStr">
        <is>
          <t>FAE referral</t>
        </is>
      </c>
      <c r="U101" t="inlineStr"/>
      <c r="V101">
        <f>IF(S101="",1,0)</f>
        <v/>
      </c>
      <c r="W101">
        <f>IF(J101="",1,0)</f>
        <v/>
      </c>
      <c r="X101">
        <f>IF(F101="",1,0)</f>
        <v/>
      </c>
      <c r="Y101">
        <f>IF(AND(AND(H101&lt;&gt;"Mass production",H101&lt;&gt;"Lost"),DATEVALUE(Q101)&lt;DATE(2026,10,20)),1,0)</f>
        <v/>
      </c>
      <c r="Z101">
        <f>IF(AND(AND(H101&lt;&gt;"Mass production",H101&lt;&gt;"Lost"),R101&gt;30),1,0)</f>
        <v/>
      </c>
      <c r="AA101">
        <f>IF(COUNTIFS($G$2:$G$247,G101,$F$2:$F$247,F101,$J$2:$J$247,J101,$K$2:$K$247,K101)&gt;1,1,0)</f>
        <v/>
      </c>
      <c r="AB101">
        <f>SUM(V101:AA101)</f>
        <v/>
      </c>
    </row>
    <row r="102">
      <c r="A102" t="inlineStr">
        <is>
          <t>OPP-26100</t>
        </is>
      </c>
      <c r="B102" t="inlineStr">
        <is>
          <t>Quorra Health</t>
        </is>
      </c>
      <c r="C102" t="inlineStr">
        <is>
          <t>Southern Europe</t>
        </is>
      </c>
      <c r="D102" t="inlineStr">
        <is>
          <t>Italy</t>
        </is>
      </c>
      <c r="E102" t="inlineStr">
        <is>
          <t>M. Rossi</t>
        </is>
      </c>
      <c r="F102" t="inlineStr">
        <is>
          <t>Automotive &amp; C-V2X</t>
        </is>
      </c>
      <c r="G102" t="inlineStr">
        <is>
          <t>Smart module</t>
        </is>
      </c>
      <c r="H102" t="inlineStr">
        <is>
          <t>Lead</t>
        </is>
      </c>
      <c r="I102" t="n">
        <v>0.05</v>
      </c>
      <c r="J102" t="n">
        <v>30000</v>
      </c>
      <c r="K102" t="n">
        <v>48.95</v>
      </c>
      <c r="L102" t="n">
        <v>3</v>
      </c>
      <c r="M102" t="n">
        <v>1468500</v>
      </c>
      <c r="N102" t="n">
        <v>4405500</v>
      </c>
      <c r="O102" t="n">
        <v>220275</v>
      </c>
      <c r="P102" t="inlineStr">
        <is>
          <t>2025-05-28</t>
        </is>
      </c>
      <c r="Q102" t="inlineStr">
        <is>
          <t>2026-12-28</t>
        </is>
      </c>
      <c r="R102" t="n">
        <v>23</v>
      </c>
      <c r="S102" t="inlineStr">
        <is>
          <t>Certification plan</t>
        </is>
      </c>
      <c r="T102" t="inlineStr">
        <is>
          <t>Direct</t>
        </is>
      </c>
      <c r="U102" t="inlineStr"/>
      <c r="V102">
        <f>IF(S102="",1,0)</f>
        <v/>
      </c>
      <c r="W102">
        <f>IF(J102="",1,0)</f>
        <v/>
      </c>
      <c r="X102">
        <f>IF(F102="",1,0)</f>
        <v/>
      </c>
      <c r="Y102">
        <f>IF(AND(AND(H102&lt;&gt;"Mass production",H102&lt;&gt;"Lost"),DATEVALUE(Q102)&lt;DATE(2026,10,20)),1,0)</f>
        <v/>
      </c>
      <c r="Z102">
        <f>IF(AND(AND(H102&lt;&gt;"Mass production",H102&lt;&gt;"Lost"),R102&gt;30),1,0)</f>
        <v/>
      </c>
      <c r="AA102">
        <f>IF(COUNTIFS($G$2:$G$247,G102,$F$2:$F$247,F102,$J$2:$J$247,J102,$K$2:$K$247,K102)&gt;1,1,0)</f>
        <v/>
      </c>
      <c r="AB102">
        <f>SUM(V102:AA102)</f>
        <v/>
      </c>
    </row>
    <row r="103">
      <c r="A103" t="inlineStr">
        <is>
          <t>OPP-26101</t>
        </is>
      </c>
      <c r="B103" t="inlineStr">
        <is>
          <t>Alpenlink Connect</t>
        </is>
      </c>
      <c r="C103" t="inlineStr">
        <is>
          <t>France &amp; Benelux</t>
        </is>
      </c>
      <c r="D103" t="inlineStr">
        <is>
          <t>Belgium</t>
        </is>
      </c>
      <c r="E103" t="inlineStr">
        <is>
          <t>C. Martin</t>
        </is>
      </c>
      <c r="F103" t="inlineStr">
        <is>
          <t>Smart home &amp; security</t>
        </is>
      </c>
      <c r="G103" t="inlineStr">
        <is>
          <t>5G eMBB</t>
        </is>
      </c>
      <c r="H103" t="inlineStr">
        <is>
          <t>Qualified</t>
        </is>
      </c>
      <c r="I103" t="n">
        <v>0.1</v>
      </c>
      <c r="J103" t="n">
        <v>20000</v>
      </c>
      <c r="K103" t="n">
        <v>87.89</v>
      </c>
      <c r="L103" t="n">
        <v>3</v>
      </c>
      <c r="M103" t="n">
        <v>1757800</v>
      </c>
      <c r="N103" t="n">
        <v>5273400</v>
      </c>
      <c r="O103" t="n">
        <v>527340</v>
      </c>
      <c r="P103" t="inlineStr">
        <is>
          <t>2025-06-04</t>
        </is>
      </c>
      <c r="Q103" t="inlineStr">
        <is>
          <t>2026-10-31</t>
        </is>
      </c>
      <c r="R103" t="n">
        <v>31</v>
      </c>
      <c r="S103" t="inlineStr">
        <is>
          <t>Price negotiation</t>
        </is>
      </c>
      <c r="T103" t="inlineStr">
        <is>
          <t>Distributor</t>
        </is>
      </c>
      <c r="U103" t="inlineStr"/>
      <c r="V103">
        <f>IF(S103="",1,0)</f>
        <v/>
      </c>
      <c r="W103">
        <f>IF(J103="",1,0)</f>
        <v/>
      </c>
      <c r="X103">
        <f>IF(F103="",1,0)</f>
        <v/>
      </c>
      <c r="Y103">
        <f>IF(AND(AND(H103&lt;&gt;"Mass production",H103&lt;&gt;"Lost"),DATEVALUE(Q103)&lt;DATE(2026,10,20)),1,0)</f>
        <v/>
      </c>
      <c r="Z103">
        <f>IF(AND(AND(H103&lt;&gt;"Mass production",H103&lt;&gt;"Lost"),R103&gt;30),1,0)</f>
        <v/>
      </c>
      <c r="AA103">
        <f>IF(COUNTIFS($G$2:$G$247,G103,$F$2:$F$247,F103,$J$2:$J$247,J103,$K$2:$K$247,K103)&gt;1,1,0)</f>
        <v/>
      </c>
      <c r="AB103">
        <f>SUM(V103:AA103)</f>
        <v/>
      </c>
    </row>
    <row r="104">
      <c r="A104" t="inlineStr">
        <is>
          <t>OPP-26102</t>
        </is>
      </c>
      <c r="B104" t="inlineStr">
        <is>
          <t>Iberix Telematics</t>
        </is>
      </c>
      <c r="C104" t="inlineStr">
        <is>
          <t>CEE</t>
        </is>
      </c>
      <c r="D104" t="inlineStr">
        <is>
          <t>Serbia</t>
        </is>
      </c>
      <c r="E104" t="inlineStr">
        <is>
          <t>K. Nowak</t>
        </is>
      </c>
      <c r="F104" t="inlineStr"/>
      <c r="G104" t="inlineStr">
        <is>
          <t>Smart module</t>
        </is>
      </c>
      <c r="H104" t="inlineStr">
        <is>
          <t>Sample / Evaluation</t>
        </is>
      </c>
      <c r="I104" t="n">
        <v>0.2</v>
      </c>
      <c r="J104" t="n">
        <v>3000</v>
      </c>
      <c r="K104" t="n">
        <v>47.96</v>
      </c>
      <c r="L104" t="n">
        <v>5</v>
      </c>
      <c r="M104" t="n">
        <v>143880</v>
      </c>
      <c r="N104" t="n">
        <v>719400</v>
      </c>
      <c r="O104" t="n">
        <v>143880</v>
      </c>
      <c r="P104" t="inlineStr">
        <is>
          <t>2026-02-05</t>
        </is>
      </c>
      <c r="Q104" t="inlineStr">
        <is>
          <t>2027-06-10</t>
        </is>
      </c>
      <c r="R104" t="n">
        <v>11</v>
      </c>
      <c r="S104" t="inlineStr">
        <is>
          <t>Design review</t>
        </is>
      </c>
      <c r="T104" t="inlineStr">
        <is>
          <t>Website</t>
        </is>
      </c>
      <c r="U104" t="inlineStr"/>
      <c r="V104">
        <f>IF(S104="",1,0)</f>
        <v/>
      </c>
      <c r="W104">
        <f>IF(J104="",1,0)</f>
        <v/>
      </c>
      <c r="X104">
        <f>IF(F104="",1,0)</f>
        <v/>
      </c>
      <c r="Y104">
        <f>IF(AND(AND(H104&lt;&gt;"Mass production",H104&lt;&gt;"Lost"),DATEVALUE(Q104)&lt;DATE(2026,10,20)),1,0)</f>
        <v/>
      </c>
      <c r="Z104">
        <f>IF(AND(AND(H104&lt;&gt;"Mass production",H104&lt;&gt;"Lost"),R104&gt;30),1,0)</f>
        <v/>
      </c>
      <c r="AA104">
        <f>IF(COUNTIFS($G$2:$G$247,G104,$F$2:$F$247,F104,$J$2:$J$247,J104,$K$2:$K$247,K104)&gt;1,1,0)</f>
        <v/>
      </c>
      <c r="AB104">
        <f>SUM(V104:AA104)</f>
        <v/>
      </c>
    </row>
    <row r="105">
      <c r="A105" t="inlineStr">
        <is>
          <t>OPP-26103</t>
        </is>
      </c>
      <c r="B105" t="inlineStr">
        <is>
          <t>Quorra Health</t>
        </is>
      </c>
      <c r="C105" t="inlineStr">
        <is>
          <t>Southern Europe</t>
        </is>
      </c>
      <c r="D105" t="inlineStr">
        <is>
          <t>Italy</t>
        </is>
      </c>
      <c r="E105" t="inlineStr">
        <is>
          <t>A. Garcia</t>
        </is>
      </c>
      <c r="F105" t="inlineStr">
        <is>
          <t>POS &amp; payments</t>
        </is>
      </c>
      <c r="G105" t="inlineStr">
        <is>
          <t>5G RedCap</t>
        </is>
      </c>
      <c r="H105" t="inlineStr">
        <is>
          <t>Mass production</t>
        </is>
      </c>
      <c r="I105" t="n">
        <v>1</v>
      </c>
      <c r="J105" t="n">
        <v>80000</v>
      </c>
      <c r="K105" t="n">
        <v>45.16</v>
      </c>
      <c r="L105" t="n">
        <v>2</v>
      </c>
      <c r="M105" t="n">
        <v>3612800</v>
      </c>
      <c r="N105" t="n">
        <v>7225600</v>
      </c>
      <c r="O105" t="n">
        <v>7225600</v>
      </c>
      <c r="P105" t="inlineStr">
        <is>
          <t>2025-10-22</t>
        </is>
      </c>
      <c r="Q105" t="inlineStr">
        <is>
          <t>2026-07-14</t>
        </is>
      </c>
      <c r="R105" t="n">
        <v>48</v>
      </c>
      <c r="S105" t="inlineStr">
        <is>
          <t>Certification plan</t>
        </is>
      </c>
      <c r="T105" t="inlineStr">
        <is>
          <t>Website</t>
        </is>
      </c>
      <c r="U105" t="inlineStr"/>
      <c r="V105">
        <f>IF(S105="",1,0)</f>
        <v/>
      </c>
      <c r="W105">
        <f>IF(J105="",1,0)</f>
        <v/>
      </c>
      <c r="X105">
        <f>IF(F105="",1,0)</f>
        <v/>
      </c>
      <c r="Y105">
        <f>IF(AND(AND(H105&lt;&gt;"Mass production",H105&lt;&gt;"Lost"),DATEVALUE(Q105)&lt;DATE(2026,10,20)),1,0)</f>
        <v/>
      </c>
      <c r="Z105">
        <f>IF(AND(AND(H105&lt;&gt;"Mass production",H105&lt;&gt;"Lost"),R105&gt;30),1,0)</f>
        <v/>
      </c>
      <c r="AA105">
        <f>IF(COUNTIFS($G$2:$G$247,G105,$F$2:$F$247,F105,$J$2:$J$247,J105,$K$2:$K$247,K105)&gt;1,1,0)</f>
        <v/>
      </c>
      <c r="AB105">
        <f>SUM(V105:AA105)</f>
        <v/>
      </c>
    </row>
    <row r="106">
      <c r="A106" t="inlineStr">
        <is>
          <t>OPP-26104</t>
        </is>
      </c>
      <c r="B106" t="inlineStr">
        <is>
          <t>Atlas Energy</t>
        </is>
      </c>
      <c r="C106" t="inlineStr">
        <is>
          <t>DACH</t>
        </is>
      </c>
      <c r="D106" t="inlineStr">
        <is>
          <t>Germany</t>
        </is>
      </c>
      <c r="E106" t="inlineStr">
        <is>
          <t>L. Hoffmann</t>
        </is>
      </c>
      <c r="F106" t="inlineStr">
        <is>
          <t>Smart home &amp; security</t>
        </is>
      </c>
      <c r="G106" t="inlineStr">
        <is>
          <t>LTE Cat 1 bis</t>
        </is>
      </c>
      <c r="H106" t="inlineStr">
        <is>
          <t>Design-in</t>
        </is>
      </c>
      <c r="I106" t="n">
        <v>0.4</v>
      </c>
      <c r="J106" t="n">
        <v>2000</v>
      </c>
      <c r="K106" t="n">
        <v>10.02</v>
      </c>
      <c r="L106" t="n">
        <v>3</v>
      </c>
      <c r="M106" t="n">
        <v>20040</v>
      </c>
      <c r="N106" t="n">
        <v>60120</v>
      </c>
      <c r="O106" t="n">
        <v>24048</v>
      </c>
      <c r="P106" t="inlineStr">
        <is>
          <t>2025-12-02</t>
        </is>
      </c>
      <c r="Q106" t="inlineStr">
        <is>
          <t>2027-06-27</t>
        </is>
      </c>
      <c r="R106" t="n">
        <v>21</v>
      </c>
      <c r="S106" t="inlineStr">
        <is>
          <t>Forecast confirmation</t>
        </is>
      </c>
      <c r="T106" t="inlineStr">
        <is>
          <t>Direct</t>
        </is>
      </c>
      <c r="U106" t="inlineStr"/>
      <c r="V106">
        <f>IF(S106="",1,0)</f>
        <v/>
      </c>
      <c r="W106">
        <f>IF(J106="",1,0)</f>
        <v/>
      </c>
      <c r="X106">
        <f>IF(F106="",1,0)</f>
        <v/>
      </c>
      <c r="Y106">
        <f>IF(AND(AND(H106&lt;&gt;"Mass production",H106&lt;&gt;"Lost"),DATEVALUE(Q106)&lt;DATE(2026,10,20)),1,0)</f>
        <v/>
      </c>
      <c r="Z106">
        <f>IF(AND(AND(H106&lt;&gt;"Mass production",H106&lt;&gt;"Lost"),R106&gt;30),1,0)</f>
        <v/>
      </c>
      <c r="AA106">
        <f>IF(COUNTIFS($G$2:$G$247,G106,$F$2:$F$247,F106,$J$2:$J$247,J106,$K$2:$K$247,K106)&gt;1,1,0)</f>
        <v/>
      </c>
      <c r="AB106">
        <f>SUM(V106:AA106)</f>
        <v/>
      </c>
    </row>
    <row r="107">
      <c r="A107" t="inlineStr">
        <is>
          <t>OPP-26105</t>
        </is>
      </c>
      <c r="B107" t="inlineStr">
        <is>
          <t>Helix Connect</t>
        </is>
      </c>
      <c r="C107" t="inlineStr">
        <is>
          <t>CEE</t>
        </is>
      </c>
      <c r="D107" t="inlineStr">
        <is>
          <t>Serbia</t>
        </is>
      </c>
      <c r="E107" t="inlineStr">
        <is>
          <t>K. Nowak</t>
        </is>
      </c>
      <c r="F107" t="inlineStr">
        <is>
          <t>POS &amp; payments</t>
        </is>
      </c>
      <c r="G107" t="inlineStr">
        <is>
          <t>LTE-M / NB-IoT</t>
        </is>
      </c>
      <c r="H107" t="inlineStr">
        <is>
          <t>Lost</t>
        </is>
      </c>
      <c r="I107" t="n">
        <v>0</v>
      </c>
      <c r="J107" t="n">
        <v>8000</v>
      </c>
      <c r="K107" t="n">
        <v>6.47</v>
      </c>
      <c r="L107" t="n">
        <v>2</v>
      </c>
      <c r="M107" t="n">
        <v>51760</v>
      </c>
      <c r="N107" t="n">
        <v>103520</v>
      </c>
      <c r="O107" t="n">
        <v>0</v>
      </c>
      <c r="P107" t="inlineStr">
        <is>
          <t>2026-01-06</t>
        </is>
      </c>
      <c r="Q107" t="inlineStr">
        <is>
          <t>2026-10-12</t>
        </is>
      </c>
      <c r="R107" t="n">
        <v>7</v>
      </c>
      <c r="S107" t="inlineStr">
        <is>
          <t>Forecast confirmation</t>
        </is>
      </c>
      <c r="T107" t="inlineStr">
        <is>
          <t>Tradeshow</t>
        </is>
      </c>
      <c r="U107" t="inlineStr">
        <is>
          <t>Price</t>
        </is>
      </c>
      <c r="V107">
        <f>IF(S107="",1,0)</f>
        <v/>
      </c>
      <c r="W107">
        <f>IF(J107="",1,0)</f>
        <v/>
      </c>
      <c r="X107">
        <f>IF(F107="",1,0)</f>
        <v/>
      </c>
      <c r="Y107">
        <f>IF(AND(AND(H107&lt;&gt;"Mass production",H107&lt;&gt;"Lost"),DATEVALUE(Q107)&lt;DATE(2026,10,20)),1,0)</f>
        <v/>
      </c>
      <c r="Z107">
        <f>IF(AND(AND(H107&lt;&gt;"Mass production",H107&lt;&gt;"Lost"),R107&gt;30),1,0)</f>
        <v/>
      </c>
      <c r="AA107">
        <f>IF(COUNTIFS($G$2:$G$247,G107,$F$2:$F$247,F107,$J$2:$J$247,J107,$K$2:$K$247,K107)&gt;1,1,0)</f>
        <v/>
      </c>
      <c r="AB107">
        <f>SUM(V107:AA107)</f>
        <v/>
      </c>
    </row>
    <row r="108">
      <c r="A108" t="inlineStr">
        <is>
          <t>OPP-26106</t>
        </is>
      </c>
      <c r="B108" t="inlineStr">
        <is>
          <t>Pannon Devices</t>
        </is>
      </c>
      <c r="C108" t="inlineStr">
        <is>
          <t>CEE</t>
        </is>
      </c>
      <c r="D108" t="inlineStr">
        <is>
          <t>Poland</t>
        </is>
      </c>
      <c r="E108" t="inlineStr">
        <is>
          <t>D. Jovanovic</t>
        </is>
      </c>
      <c r="F108" t="inlineStr">
        <is>
          <t>Asset tracking</t>
        </is>
      </c>
      <c r="G108" t="inlineStr">
        <is>
          <t>LTE-M / NB-IoT</t>
        </is>
      </c>
      <c r="H108" t="inlineStr">
        <is>
          <t>Sample / Evaluation</t>
        </is>
      </c>
      <c r="I108" t="n">
        <v>0.2</v>
      </c>
      <c r="J108" t="n">
        <v>10000</v>
      </c>
      <c r="K108" t="n">
        <v>7.56</v>
      </c>
      <c r="L108" t="n">
        <v>2</v>
      </c>
      <c r="M108" t="n">
        <v>75600</v>
      </c>
      <c r="N108" t="n">
        <v>151200</v>
      </c>
      <c r="O108" t="n">
        <v>30240</v>
      </c>
      <c r="P108" t="inlineStr">
        <is>
          <t>2025-12-02</t>
        </is>
      </c>
      <c r="Q108" t="inlineStr">
        <is>
          <t>2027-03-17</t>
        </is>
      </c>
      <c r="R108" t="n">
        <v>59</v>
      </c>
      <c r="S108" t="inlineStr">
        <is>
          <t>Price negotiation</t>
        </is>
      </c>
      <c r="T108" t="inlineStr">
        <is>
          <t>Tradeshow</t>
        </is>
      </c>
      <c r="U108" t="inlineStr"/>
      <c r="V108">
        <f>IF(S108="",1,0)</f>
        <v/>
      </c>
      <c r="W108">
        <f>IF(J108="",1,0)</f>
        <v/>
      </c>
      <c r="X108">
        <f>IF(F108="",1,0)</f>
        <v/>
      </c>
      <c r="Y108">
        <f>IF(AND(AND(H108&lt;&gt;"Mass production",H108&lt;&gt;"Lost"),DATEVALUE(Q108)&lt;DATE(2026,10,20)),1,0)</f>
        <v/>
      </c>
      <c r="Z108">
        <f>IF(AND(AND(H108&lt;&gt;"Mass production",H108&lt;&gt;"Lost"),R108&gt;30),1,0)</f>
        <v/>
      </c>
      <c r="AA108">
        <f>IF(COUNTIFS($G$2:$G$247,G108,$F$2:$F$247,F108,$J$2:$J$247,J108,$K$2:$K$247,K108)&gt;1,1,0)</f>
        <v/>
      </c>
      <c r="AB108">
        <f>SUM(V108:AA108)</f>
        <v/>
      </c>
    </row>
    <row r="109">
      <c r="A109" t="inlineStr">
        <is>
          <t>OPP-26107</t>
        </is>
      </c>
      <c r="B109" t="inlineStr">
        <is>
          <t>Stellar Energy</t>
        </is>
      </c>
      <c r="C109" t="inlineStr">
        <is>
          <t>Middle East &amp; Africa</t>
        </is>
      </c>
      <c r="D109" t="inlineStr">
        <is>
          <t>South Africa</t>
        </is>
      </c>
      <c r="E109" t="inlineStr">
        <is>
          <t>Y. Cohen</t>
        </is>
      </c>
      <c r="F109" t="inlineStr">
        <is>
          <t>Automotive &amp; C-V2X</t>
        </is>
      </c>
      <c r="G109" t="inlineStr">
        <is>
          <t>LTE-M / NB-IoT</t>
        </is>
      </c>
      <c r="H109" t="inlineStr">
        <is>
          <t>Pilot</t>
        </is>
      </c>
      <c r="I109" t="n">
        <v>0.85</v>
      </c>
      <c r="J109" t="n">
        <v>8000</v>
      </c>
      <c r="K109" t="n">
        <v>7.77</v>
      </c>
      <c r="L109" t="n">
        <v>3</v>
      </c>
      <c r="M109" t="n">
        <v>62160</v>
      </c>
      <c r="N109" t="n">
        <v>186480</v>
      </c>
      <c r="O109" t="n">
        <v>158508</v>
      </c>
      <c r="P109" t="inlineStr">
        <is>
          <t>2025-01-28</t>
        </is>
      </c>
      <c r="Q109" t="inlineStr">
        <is>
          <t>2026-10-21</t>
        </is>
      </c>
      <c r="R109" t="n">
        <v>29</v>
      </c>
      <c r="S109" t="inlineStr">
        <is>
          <t>Send samples</t>
        </is>
      </c>
      <c r="T109" t="inlineStr">
        <is>
          <t>Website</t>
        </is>
      </c>
      <c r="U109" t="inlineStr"/>
      <c r="V109">
        <f>IF(S109="",1,0)</f>
        <v/>
      </c>
      <c r="W109">
        <f>IF(J109="",1,0)</f>
        <v/>
      </c>
      <c r="X109">
        <f>IF(F109="",1,0)</f>
        <v/>
      </c>
      <c r="Y109">
        <f>IF(AND(AND(H109&lt;&gt;"Mass production",H109&lt;&gt;"Lost"),DATEVALUE(Q109)&lt;DATE(2026,10,20)),1,0)</f>
        <v/>
      </c>
      <c r="Z109">
        <f>IF(AND(AND(H109&lt;&gt;"Mass production",H109&lt;&gt;"Lost"),R109&gt;30),1,0)</f>
        <v/>
      </c>
      <c r="AA109">
        <f>IF(COUNTIFS($G$2:$G$247,G109,$F$2:$F$247,F109,$J$2:$J$247,J109,$K$2:$K$247,K109)&gt;1,1,0)</f>
        <v/>
      </c>
      <c r="AB109">
        <f>SUM(V109:AA109)</f>
        <v/>
      </c>
    </row>
    <row r="110">
      <c r="A110" t="inlineStr">
        <is>
          <t>OPP-26108</t>
        </is>
      </c>
      <c r="B110" t="inlineStr">
        <is>
          <t>Stellar Mobility</t>
        </is>
      </c>
      <c r="C110" t="inlineStr">
        <is>
          <t>DACH</t>
        </is>
      </c>
      <c r="D110" t="inlineStr">
        <is>
          <t>Switzerland</t>
        </is>
      </c>
      <c r="E110" t="inlineStr">
        <is>
          <t>L. Hoffmann</t>
        </is>
      </c>
      <c r="F110" t="inlineStr">
        <is>
          <t>Smart metering</t>
        </is>
      </c>
      <c r="G110" t="inlineStr">
        <is>
          <t>5G eMBB</t>
        </is>
      </c>
      <c r="H110" t="inlineStr">
        <is>
          <t>Design-in</t>
        </is>
      </c>
      <c r="I110" t="n">
        <v>0.4</v>
      </c>
      <c r="J110" t="n">
        <v>50000</v>
      </c>
      <c r="K110" t="n">
        <v>94.05</v>
      </c>
      <c r="L110" t="n">
        <v>4</v>
      </c>
      <c r="M110" t="n">
        <v>4702500</v>
      </c>
      <c r="N110" t="n">
        <v>18810000</v>
      </c>
      <c r="O110" t="n">
        <v>7524000</v>
      </c>
      <c r="P110" t="inlineStr">
        <is>
          <t>2026-06-03</t>
        </is>
      </c>
      <c r="Q110" t="inlineStr">
        <is>
          <t>2026-12-24</t>
        </is>
      </c>
      <c r="R110" t="n">
        <v>42</v>
      </c>
      <c r="S110" t="inlineStr">
        <is>
          <t>Price negotiation</t>
        </is>
      </c>
      <c r="T110" t="inlineStr">
        <is>
          <t>Direct</t>
        </is>
      </c>
      <c r="U110" t="inlineStr"/>
      <c r="V110">
        <f>IF(S110="",1,0)</f>
        <v/>
      </c>
      <c r="W110">
        <f>IF(J110="",1,0)</f>
        <v/>
      </c>
      <c r="X110">
        <f>IF(F110="",1,0)</f>
        <v/>
      </c>
      <c r="Y110">
        <f>IF(AND(AND(H110&lt;&gt;"Mass production",H110&lt;&gt;"Lost"),DATEVALUE(Q110)&lt;DATE(2026,10,20)),1,0)</f>
        <v/>
      </c>
      <c r="Z110">
        <f>IF(AND(AND(H110&lt;&gt;"Mass production",H110&lt;&gt;"Lost"),R110&gt;30),1,0)</f>
        <v/>
      </c>
      <c r="AA110">
        <f>IF(COUNTIFS($G$2:$G$247,G110,$F$2:$F$247,F110,$J$2:$J$247,J110,$K$2:$K$247,K110)&gt;1,1,0)</f>
        <v/>
      </c>
      <c r="AB110">
        <f>SUM(V110:AA110)</f>
        <v/>
      </c>
    </row>
    <row r="111">
      <c r="A111" t="inlineStr">
        <is>
          <t>OPP-26109</t>
        </is>
      </c>
      <c r="B111" t="inlineStr">
        <is>
          <t>Bluecell Labs</t>
        </is>
      </c>
      <c r="C111" t="inlineStr">
        <is>
          <t>Southern Europe</t>
        </is>
      </c>
      <c r="D111" t="inlineStr">
        <is>
          <t>Portugal</t>
        </is>
      </c>
      <c r="E111" t="inlineStr">
        <is>
          <t>M. Rossi</t>
        </is>
      </c>
      <c r="F111" t="inlineStr">
        <is>
          <t>Smart home &amp; security</t>
        </is>
      </c>
      <c r="G111" t="inlineStr">
        <is>
          <t>LTE-M / NB-IoT</t>
        </is>
      </c>
      <c r="H111" t="inlineStr">
        <is>
          <t>Lead</t>
        </is>
      </c>
      <c r="I111" t="n">
        <v>0.05</v>
      </c>
      <c r="J111" t="n">
        <v>10000</v>
      </c>
      <c r="K111" t="n">
        <v>7.52</v>
      </c>
      <c r="L111" t="n">
        <v>2</v>
      </c>
      <c r="M111" t="n">
        <v>75200</v>
      </c>
      <c r="N111" t="n">
        <v>150400</v>
      </c>
      <c r="O111" t="n">
        <v>7520</v>
      </c>
      <c r="P111" t="inlineStr">
        <is>
          <t>2025-08-21</t>
        </is>
      </c>
      <c r="Q111" t="inlineStr">
        <is>
          <t>2027-01-18</t>
        </is>
      </c>
      <c r="R111" t="n">
        <v>13</v>
      </c>
      <c r="S111" t="inlineStr">
        <is>
          <t>Forecast confirmation</t>
        </is>
      </c>
      <c r="T111" t="inlineStr">
        <is>
          <t>Tradeshow</t>
        </is>
      </c>
      <c r="U111" t="inlineStr"/>
      <c r="V111">
        <f>IF(S111="",1,0)</f>
        <v/>
      </c>
      <c r="W111">
        <f>IF(J111="",1,0)</f>
        <v/>
      </c>
      <c r="X111">
        <f>IF(F111="",1,0)</f>
        <v/>
      </c>
      <c r="Y111">
        <f>IF(AND(AND(H111&lt;&gt;"Mass production",H111&lt;&gt;"Lost"),DATEVALUE(Q111)&lt;DATE(2026,10,20)),1,0)</f>
        <v/>
      </c>
      <c r="Z111">
        <f>IF(AND(AND(H111&lt;&gt;"Mass production",H111&lt;&gt;"Lost"),R111&gt;30),1,0)</f>
        <v/>
      </c>
      <c r="AA111">
        <f>IF(COUNTIFS($G$2:$G$247,G111,$F$2:$F$247,F111,$J$2:$J$247,J111,$K$2:$K$247,K111)&gt;1,1,0)</f>
        <v/>
      </c>
      <c r="AB111">
        <f>SUM(V111:AA111)</f>
        <v/>
      </c>
    </row>
    <row r="112">
      <c r="A112" t="inlineStr">
        <is>
          <t>OPP-26110</t>
        </is>
      </c>
      <c r="B112" t="inlineStr">
        <is>
          <t>Rhenus Systems</t>
        </is>
      </c>
      <c r="C112" t="inlineStr">
        <is>
          <t>Nordics</t>
        </is>
      </c>
      <c r="D112" t="inlineStr">
        <is>
          <t>Denmark</t>
        </is>
      </c>
      <c r="E112" t="inlineStr">
        <is>
          <t>E. Lindqvist</t>
        </is>
      </c>
      <c r="F112" t="inlineStr">
        <is>
          <t>Healthcare</t>
        </is>
      </c>
      <c r="G112" t="inlineStr">
        <is>
          <t>5G RedCap</t>
        </is>
      </c>
      <c r="H112" t="inlineStr">
        <is>
          <t>Lost</t>
        </is>
      </c>
      <c r="I112" t="n">
        <v>0</v>
      </c>
      <c r="J112" t="n">
        <v>30000</v>
      </c>
      <c r="K112" t="n">
        <v>61.67</v>
      </c>
      <c r="L112" t="n">
        <v>2</v>
      </c>
      <c r="M112" t="n">
        <v>1850100</v>
      </c>
      <c r="N112" t="n">
        <v>3700200</v>
      </c>
      <c r="O112" t="n">
        <v>0</v>
      </c>
      <c r="P112" t="inlineStr">
        <is>
          <t>2025-12-11</t>
        </is>
      </c>
      <c r="Q112" t="inlineStr">
        <is>
          <t>2026-10-14</t>
        </is>
      </c>
      <c r="R112" t="n">
        <v>113</v>
      </c>
      <c r="S112" t="inlineStr">
        <is>
          <t>Design review</t>
        </is>
      </c>
      <c r="T112" t="inlineStr">
        <is>
          <t>Distributor</t>
        </is>
      </c>
      <c r="U112" t="inlineStr">
        <is>
          <t>Certification timeline</t>
        </is>
      </c>
      <c r="V112">
        <f>IF(S112="",1,0)</f>
        <v/>
      </c>
      <c r="W112">
        <f>IF(J112="",1,0)</f>
        <v/>
      </c>
      <c r="X112">
        <f>IF(F112="",1,0)</f>
        <v/>
      </c>
      <c r="Y112">
        <f>IF(AND(AND(H112&lt;&gt;"Mass production",H112&lt;&gt;"Lost"),DATEVALUE(Q112)&lt;DATE(2026,10,20)),1,0)</f>
        <v/>
      </c>
      <c r="Z112">
        <f>IF(AND(AND(H112&lt;&gt;"Mass production",H112&lt;&gt;"Lost"),R112&gt;30),1,0)</f>
        <v/>
      </c>
      <c r="AA112">
        <f>IF(COUNTIFS($G$2:$G$247,G112,$F$2:$F$247,F112,$J$2:$J$247,J112,$K$2:$K$247,K112)&gt;1,1,0)</f>
        <v/>
      </c>
      <c r="AB112">
        <f>SUM(V112:AA112)</f>
        <v/>
      </c>
    </row>
    <row r="113">
      <c r="A113" t="inlineStr">
        <is>
          <t>OPP-26111</t>
        </is>
      </c>
      <c r="B113" t="inlineStr">
        <is>
          <t>Ferro Energy</t>
        </is>
      </c>
      <c r="C113" t="inlineStr">
        <is>
          <t>France &amp; Benelux</t>
        </is>
      </c>
      <c r="D113" t="inlineStr">
        <is>
          <t>Belgium</t>
        </is>
      </c>
      <c r="E113" t="inlineStr">
        <is>
          <t>C. Martin</t>
        </is>
      </c>
      <c r="F113" t="inlineStr">
        <is>
          <t>POS &amp; payments</t>
        </is>
      </c>
      <c r="G113" t="inlineStr">
        <is>
          <t>Wi-Fi / Bluetooth</t>
        </is>
      </c>
      <c r="H113" t="inlineStr">
        <is>
          <t>Lost</t>
        </is>
      </c>
      <c r="I113" t="n">
        <v>0</v>
      </c>
      <c r="J113" t="n">
        <v>15000</v>
      </c>
      <c r="K113" t="n">
        <v>4.39</v>
      </c>
      <c r="L113" t="n">
        <v>2</v>
      </c>
      <c r="M113" t="n">
        <v>65850</v>
      </c>
      <c r="N113" t="n">
        <v>131700</v>
      </c>
      <c r="O113" t="n">
        <v>0</v>
      </c>
      <c r="P113" t="inlineStr">
        <is>
          <t>2026-04-01</t>
        </is>
      </c>
      <c r="Q113" t="inlineStr">
        <is>
          <t>2026-10-07</t>
        </is>
      </c>
      <c r="R113" t="n">
        <v>59</v>
      </c>
      <c r="S113" t="inlineStr">
        <is>
          <t>Price negotiation</t>
        </is>
      </c>
      <c r="T113" t="inlineStr">
        <is>
          <t>Tradeshow</t>
        </is>
      </c>
      <c r="U113" t="inlineStr">
        <is>
          <t>Technical fit</t>
        </is>
      </c>
      <c r="V113">
        <f>IF(S113="",1,0)</f>
        <v/>
      </c>
      <c r="W113">
        <f>IF(J113="",1,0)</f>
        <v/>
      </c>
      <c r="X113">
        <f>IF(F113="",1,0)</f>
        <v/>
      </c>
      <c r="Y113">
        <f>IF(AND(AND(H113&lt;&gt;"Mass production",H113&lt;&gt;"Lost"),DATEVALUE(Q113)&lt;DATE(2026,10,20)),1,0)</f>
        <v/>
      </c>
      <c r="Z113">
        <f>IF(AND(AND(H113&lt;&gt;"Mass production",H113&lt;&gt;"Lost"),R113&gt;30),1,0)</f>
        <v/>
      </c>
      <c r="AA113">
        <f>IF(COUNTIFS($G$2:$G$247,G113,$F$2:$F$247,F113,$J$2:$J$247,J113,$K$2:$K$247,K113)&gt;1,1,0)</f>
        <v/>
      </c>
      <c r="AB113">
        <f>SUM(V113:AA113)</f>
        <v/>
      </c>
    </row>
    <row r="114">
      <c r="A114" t="inlineStr">
        <is>
          <t>OPP-26112</t>
        </is>
      </c>
      <c r="B114" t="inlineStr">
        <is>
          <t>Pannon Health</t>
        </is>
      </c>
      <c r="C114" t="inlineStr">
        <is>
          <t>France &amp; Benelux</t>
        </is>
      </c>
      <c r="D114" t="inlineStr">
        <is>
          <t>France</t>
        </is>
      </c>
      <c r="E114" t="inlineStr">
        <is>
          <t>C. Martin</t>
        </is>
      </c>
      <c r="F114" t="inlineStr">
        <is>
          <t>Industrial IoT</t>
        </is>
      </c>
      <c r="G114" t="inlineStr">
        <is>
          <t>5G eMBB</t>
        </is>
      </c>
      <c r="H114" t="inlineStr">
        <is>
          <t>Mass production</t>
        </is>
      </c>
      <c r="I114" t="n">
        <v>1</v>
      </c>
      <c r="J114" t="n">
        <v>5000</v>
      </c>
      <c r="K114" t="n">
        <v>110.33</v>
      </c>
      <c r="L114" t="n">
        <v>3</v>
      </c>
      <c r="M114" t="n">
        <v>551650</v>
      </c>
      <c r="N114" t="n">
        <v>1654950</v>
      </c>
      <c r="O114" t="n">
        <v>1654950</v>
      </c>
      <c r="P114" t="inlineStr">
        <is>
          <t>2026-03-21</t>
        </is>
      </c>
      <c r="Q114" t="inlineStr">
        <is>
          <t>2026-09-14</t>
        </is>
      </c>
      <c r="R114" t="n">
        <v>28</v>
      </c>
      <c r="S114" t="inlineStr">
        <is>
          <t>Certification plan</t>
        </is>
      </c>
      <c r="T114" t="inlineStr">
        <is>
          <t>Direct</t>
        </is>
      </c>
      <c r="U114" t="inlineStr"/>
      <c r="V114">
        <f>IF(S114="",1,0)</f>
        <v/>
      </c>
      <c r="W114">
        <f>IF(J114="",1,0)</f>
        <v/>
      </c>
      <c r="X114">
        <f>IF(F114="",1,0)</f>
        <v/>
      </c>
      <c r="Y114">
        <f>IF(AND(AND(H114&lt;&gt;"Mass production",H114&lt;&gt;"Lost"),DATEVALUE(Q114)&lt;DATE(2026,10,20)),1,0)</f>
        <v/>
      </c>
      <c r="Z114">
        <f>IF(AND(AND(H114&lt;&gt;"Mass production",H114&lt;&gt;"Lost"),R114&gt;30),1,0)</f>
        <v/>
      </c>
      <c r="AA114">
        <f>IF(COUNTIFS($G$2:$G$247,G114,$F$2:$F$247,F114,$J$2:$J$247,J114,$K$2:$K$247,K114)&gt;1,1,0)</f>
        <v/>
      </c>
      <c r="AB114">
        <f>SUM(V114:AA114)</f>
        <v/>
      </c>
    </row>
    <row r="115">
      <c r="A115" t="inlineStr">
        <is>
          <t>OPP-26113</t>
        </is>
      </c>
      <c r="B115" t="inlineStr">
        <is>
          <t>Alpenlink Labs</t>
        </is>
      </c>
      <c r="C115" t="inlineStr">
        <is>
          <t>Nordics</t>
        </is>
      </c>
      <c r="D115" t="inlineStr">
        <is>
          <t>Sweden</t>
        </is>
      </c>
      <c r="E115" t="inlineStr">
        <is>
          <t>E. Lindqvist</t>
        </is>
      </c>
      <c r="F115" t="inlineStr">
        <is>
          <t>Industrial IoT</t>
        </is>
      </c>
      <c r="G115" t="inlineStr">
        <is>
          <t>Smart module</t>
        </is>
      </c>
      <c r="H115" t="inlineStr">
        <is>
          <t>Design-win</t>
        </is>
      </c>
      <c r="I115" t="n">
        <v>0.7</v>
      </c>
      <c r="J115" t="n">
        <v>8000</v>
      </c>
      <c r="K115" t="n">
        <v>88.61</v>
      </c>
      <c r="L115" t="n">
        <v>2</v>
      </c>
      <c r="M115" t="n">
        <v>708880</v>
      </c>
      <c r="N115" t="n">
        <v>1417760</v>
      </c>
      <c r="O115" t="n">
        <v>992432</v>
      </c>
      <c r="P115" t="inlineStr">
        <is>
          <t>2025-08-15</t>
        </is>
      </c>
      <c r="Q115" t="inlineStr">
        <is>
          <t>2027-04-22</t>
        </is>
      </c>
      <c r="R115" t="n">
        <v>3</v>
      </c>
      <c r="S115" t="inlineStr">
        <is>
          <t>Forecast confirmation</t>
        </is>
      </c>
      <c r="T115" t="inlineStr">
        <is>
          <t>Distributor</t>
        </is>
      </c>
      <c r="U115" t="inlineStr"/>
      <c r="V115">
        <f>IF(S115="",1,0)</f>
        <v/>
      </c>
      <c r="W115">
        <f>IF(J115="",1,0)</f>
        <v/>
      </c>
      <c r="X115">
        <f>IF(F115="",1,0)</f>
        <v/>
      </c>
      <c r="Y115">
        <f>IF(AND(AND(H115&lt;&gt;"Mass production",H115&lt;&gt;"Lost"),DATEVALUE(Q115)&lt;DATE(2026,10,20)),1,0)</f>
        <v/>
      </c>
      <c r="Z115">
        <f>IF(AND(AND(H115&lt;&gt;"Mass production",H115&lt;&gt;"Lost"),R115&gt;30),1,0)</f>
        <v/>
      </c>
      <c r="AA115">
        <f>IF(COUNTIFS($G$2:$G$247,G115,$F$2:$F$247,F115,$J$2:$J$247,J115,$K$2:$K$247,K115)&gt;1,1,0)</f>
        <v/>
      </c>
      <c r="AB115">
        <f>SUM(V115:AA115)</f>
        <v/>
      </c>
    </row>
    <row r="116">
      <c r="A116" t="inlineStr">
        <is>
          <t>OPP-26114</t>
        </is>
      </c>
      <c r="B116" t="inlineStr">
        <is>
          <t>Arcturus Metering</t>
        </is>
      </c>
      <c r="C116" t="inlineStr">
        <is>
          <t>DACH</t>
        </is>
      </c>
      <c r="D116" t="inlineStr">
        <is>
          <t>Switzerland</t>
        </is>
      </c>
      <c r="E116" t="inlineStr">
        <is>
          <t>J. Weber</t>
        </is>
      </c>
      <c r="F116" t="inlineStr">
        <is>
          <t>Smart home &amp; security</t>
        </is>
      </c>
      <c r="G116" t="inlineStr">
        <is>
          <t>5G eMBB</t>
        </is>
      </c>
      <c r="H116" t="inlineStr">
        <is>
          <t>Qualified</t>
        </is>
      </c>
      <c r="I116" t="n">
        <v>0.1</v>
      </c>
      <c r="J116" t="n">
        <v>50000</v>
      </c>
      <c r="K116" t="n">
        <v>139.21</v>
      </c>
      <c r="L116" t="n">
        <v>3</v>
      </c>
      <c r="M116" t="n">
        <v>6960500</v>
      </c>
      <c r="N116" t="n">
        <v>20881500</v>
      </c>
      <c r="O116" t="n">
        <v>2088150</v>
      </c>
      <c r="P116" t="inlineStr">
        <is>
          <t>2025-08-03</t>
        </is>
      </c>
      <c r="Q116" t="inlineStr">
        <is>
          <t>2027-02-10</t>
        </is>
      </c>
      <c r="R116" t="n">
        <v>102</v>
      </c>
      <c r="S116" t="inlineStr">
        <is>
          <t>Price negotiation</t>
        </is>
      </c>
      <c r="T116" t="inlineStr">
        <is>
          <t>Direct</t>
        </is>
      </c>
      <c r="U116" t="inlineStr"/>
      <c r="V116">
        <f>IF(S116="",1,0)</f>
        <v/>
      </c>
      <c r="W116">
        <f>IF(J116="",1,0)</f>
        <v/>
      </c>
      <c r="X116">
        <f>IF(F116="",1,0)</f>
        <v/>
      </c>
      <c r="Y116">
        <f>IF(AND(AND(H116&lt;&gt;"Mass production",H116&lt;&gt;"Lost"),DATEVALUE(Q116)&lt;DATE(2026,10,20)),1,0)</f>
        <v/>
      </c>
      <c r="Z116">
        <f>IF(AND(AND(H116&lt;&gt;"Mass production",H116&lt;&gt;"Lost"),R116&gt;30),1,0)</f>
        <v/>
      </c>
      <c r="AA116">
        <f>IF(COUNTIFS($G$2:$G$247,G116,$F$2:$F$247,F116,$J$2:$J$247,J116,$K$2:$K$247,K116)&gt;1,1,0)</f>
        <v/>
      </c>
      <c r="AB116">
        <f>SUM(V116:AA116)</f>
        <v/>
      </c>
    </row>
    <row r="117">
      <c r="A117" t="inlineStr">
        <is>
          <t>OPP-26115</t>
        </is>
      </c>
      <c r="B117" t="inlineStr">
        <is>
          <t>Kestrel Telematics</t>
        </is>
      </c>
      <c r="C117" t="inlineStr">
        <is>
          <t>CEE</t>
        </is>
      </c>
      <c r="D117" t="inlineStr">
        <is>
          <t>Romania</t>
        </is>
      </c>
      <c r="E117" t="inlineStr">
        <is>
          <t>K. Nowak</t>
        </is>
      </c>
      <c r="F117" t="inlineStr">
        <is>
          <t>POS &amp; payments</t>
        </is>
      </c>
      <c r="G117" t="inlineStr">
        <is>
          <t>Wi-Fi / Bluetooth</t>
        </is>
      </c>
      <c r="H117" t="inlineStr">
        <is>
          <t>Design-win</t>
        </is>
      </c>
      <c r="I117" t="n">
        <v>0.7</v>
      </c>
      <c r="J117" t="n">
        <v>20000</v>
      </c>
      <c r="K117" t="n">
        <v>4.34</v>
      </c>
      <c r="L117" t="n">
        <v>4</v>
      </c>
      <c r="M117" t="n">
        <v>86800</v>
      </c>
      <c r="N117" t="n">
        <v>347200</v>
      </c>
      <c r="O117" t="n">
        <v>243040</v>
      </c>
      <c r="P117" t="inlineStr">
        <is>
          <t>2026-05-01</t>
        </is>
      </c>
      <c r="Q117" t="inlineStr">
        <is>
          <t>2027-02-10</t>
        </is>
      </c>
      <c r="R117" t="n">
        <v>6</v>
      </c>
      <c r="S117" t="inlineStr">
        <is>
          <t>Quote revision</t>
        </is>
      </c>
      <c r="T117" t="inlineStr">
        <is>
          <t>Website</t>
        </is>
      </c>
      <c r="U117" t="inlineStr"/>
      <c r="V117">
        <f>IF(S117="",1,0)</f>
        <v/>
      </c>
      <c r="W117">
        <f>IF(J117="",1,0)</f>
        <v/>
      </c>
      <c r="X117">
        <f>IF(F117="",1,0)</f>
        <v/>
      </c>
      <c r="Y117">
        <f>IF(AND(AND(H117&lt;&gt;"Mass production",H117&lt;&gt;"Lost"),DATEVALUE(Q117)&lt;DATE(2026,10,20)),1,0)</f>
        <v/>
      </c>
      <c r="Z117">
        <f>IF(AND(AND(H117&lt;&gt;"Mass production",H117&lt;&gt;"Lost"),R117&gt;30),1,0)</f>
        <v/>
      </c>
      <c r="AA117">
        <f>IF(COUNTIFS($G$2:$G$247,G117,$F$2:$F$247,F117,$J$2:$J$247,J117,$K$2:$K$247,K117)&gt;1,1,0)</f>
        <v/>
      </c>
      <c r="AB117">
        <f>SUM(V117:AA117)</f>
        <v/>
      </c>
    </row>
    <row r="118">
      <c r="A118" t="inlineStr">
        <is>
          <t>OPP-26116</t>
        </is>
      </c>
      <c r="B118" t="inlineStr">
        <is>
          <t>Arcturus Connect</t>
        </is>
      </c>
      <c r="C118" t="inlineStr">
        <is>
          <t>Southern Europe</t>
        </is>
      </c>
      <c r="D118" t="inlineStr">
        <is>
          <t>Portugal</t>
        </is>
      </c>
      <c r="E118" t="inlineStr">
        <is>
          <t>A. Garcia</t>
        </is>
      </c>
      <c r="F118" t="inlineStr">
        <is>
          <t>Healthcare</t>
        </is>
      </c>
      <c r="G118" t="inlineStr">
        <is>
          <t>LTE-M / NB-IoT</t>
        </is>
      </c>
      <c r="H118" t="inlineStr">
        <is>
          <t>Sample / Evaluation</t>
        </is>
      </c>
      <c r="I118" t="n">
        <v>0.2</v>
      </c>
      <c r="J118" t="n">
        <v>5000</v>
      </c>
      <c r="K118" t="n">
        <v>7.17</v>
      </c>
      <c r="L118" t="n">
        <v>4</v>
      </c>
      <c r="M118" t="n">
        <v>35850</v>
      </c>
      <c r="N118" t="n">
        <v>143400</v>
      </c>
      <c r="O118" t="n">
        <v>28680</v>
      </c>
      <c r="P118" t="inlineStr">
        <is>
          <t>2026-01-25</t>
        </is>
      </c>
      <c r="Q118" t="inlineStr">
        <is>
          <t>2027-01-18</t>
        </is>
      </c>
      <c r="R118" t="n">
        <v>3</v>
      </c>
      <c r="S118" t="inlineStr">
        <is>
          <t>Technical review call</t>
        </is>
      </c>
      <c r="T118" t="inlineStr">
        <is>
          <t>Distributor</t>
        </is>
      </c>
      <c r="U118" t="inlineStr"/>
      <c r="V118">
        <f>IF(S118="",1,0)</f>
        <v/>
      </c>
      <c r="W118">
        <f>IF(J118="",1,0)</f>
        <v/>
      </c>
      <c r="X118">
        <f>IF(F118="",1,0)</f>
        <v/>
      </c>
      <c r="Y118">
        <f>IF(AND(AND(H118&lt;&gt;"Mass production",H118&lt;&gt;"Lost"),DATEVALUE(Q118)&lt;DATE(2026,10,20)),1,0)</f>
        <v/>
      </c>
      <c r="Z118">
        <f>IF(AND(AND(H118&lt;&gt;"Mass production",H118&lt;&gt;"Lost"),R118&gt;30),1,0)</f>
        <v/>
      </c>
      <c r="AA118">
        <f>IF(COUNTIFS($G$2:$G$247,G118,$F$2:$F$247,F118,$J$2:$J$247,J118,$K$2:$K$247,K118)&gt;1,1,0)</f>
        <v/>
      </c>
      <c r="AB118">
        <f>SUM(V118:AA118)</f>
        <v/>
      </c>
    </row>
    <row r="119">
      <c r="A119" t="inlineStr">
        <is>
          <t>OPP-26117</t>
        </is>
      </c>
      <c r="B119" t="inlineStr">
        <is>
          <t>Arcturus Industrial</t>
        </is>
      </c>
      <c r="C119" t="inlineStr">
        <is>
          <t>Southern Europe</t>
        </is>
      </c>
      <c r="D119" t="inlineStr">
        <is>
          <t>Italy</t>
        </is>
      </c>
      <c r="E119" t="inlineStr">
        <is>
          <t>A. Garcia</t>
        </is>
      </c>
      <c r="F119" t="inlineStr">
        <is>
          <t>POS &amp; payments</t>
        </is>
      </c>
      <c r="G119" t="inlineStr">
        <is>
          <t>Smart module</t>
        </is>
      </c>
      <c r="H119" t="inlineStr">
        <is>
          <t>Sample / Evaluation</t>
        </is>
      </c>
      <c r="I119" t="n">
        <v>0.2</v>
      </c>
      <c r="J119" t="n">
        <v>2000</v>
      </c>
      <c r="K119" t="n">
        <v>75.25</v>
      </c>
      <c r="L119" t="n">
        <v>2</v>
      </c>
      <c r="M119" t="n">
        <v>150500</v>
      </c>
      <c r="N119" t="n">
        <v>301000</v>
      </c>
      <c r="O119" t="n">
        <v>60200</v>
      </c>
      <c r="P119" t="inlineStr">
        <is>
          <t>2026-03-22</t>
        </is>
      </c>
      <c r="Q119" t="inlineStr">
        <is>
          <t>2027-07-07</t>
        </is>
      </c>
      <c r="R119" t="n">
        <v>11</v>
      </c>
      <c r="S119" t="inlineStr">
        <is>
          <t>Send samples</t>
        </is>
      </c>
      <c r="T119" t="inlineStr">
        <is>
          <t>Direct</t>
        </is>
      </c>
      <c r="U119" t="inlineStr"/>
      <c r="V119">
        <f>IF(S119="",1,0)</f>
        <v/>
      </c>
      <c r="W119">
        <f>IF(J119="",1,0)</f>
        <v/>
      </c>
      <c r="X119">
        <f>IF(F119="",1,0)</f>
        <v/>
      </c>
      <c r="Y119">
        <f>IF(AND(AND(H119&lt;&gt;"Mass production",H119&lt;&gt;"Lost"),DATEVALUE(Q119)&lt;DATE(2026,10,20)),1,0)</f>
        <v/>
      </c>
      <c r="Z119">
        <f>IF(AND(AND(H119&lt;&gt;"Mass production",H119&lt;&gt;"Lost"),R119&gt;30),1,0)</f>
        <v/>
      </c>
      <c r="AA119">
        <f>IF(COUNTIFS($G$2:$G$247,G119,$F$2:$F$247,F119,$J$2:$J$247,J119,$K$2:$K$247,K119)&gt;1,1,0)</f>
        <v/>
      </c>
      <c r="AB119">
        <f>SUM(V119:AA119)</f>
        <v/>
      </c>
    </row>
    <row r="120">
      <c r="A120" t="inlineStr">
        <is>
          <t>OPP-26118</t>
        </is>
      </c>
      <c r="B120" t="inlineStr">
        <is>
          <t>Ferro Systems</t>
        </is>
      </c>
      <c r="C120" t="inlineStr">
        <is>
          <t>CEE</t>
        </is>
      </c>
      <c r="D120" t="inlineStr">
        <is>
          <t>Poland</t>
        </is>
      </c>
      <c r="E120" t="inlineStr">
        <is>
          <t>D. Jovanovic</t>
        </is>
      </c>
      <c r="F120" t="inlineStr">
        <is>
          <t>Smart home &amp; security</t>
        </is>
      </c>
      <c r="G120" t="inlineStr">
        <is>
          <t>Wi-Fi / Bluetooth</t>
        </is>
      </c>
      <c r="H120" t="inlineStr">
        <is>
          <t>Qualified</t>
        </is>
      </c>
      <c r="I120" t="n">
        <v>0.1</v>
      </c>
      <c r="J120" t="n">
        <v>8000</v>
      </c>
      <c r="K120" t="n">
        <v>4.18</v>
      </c>
      <c r="L120" t="n">
        <v>5</v>
      </c>
      <c r="M120" t="n">
        <v>33440</v>
      </c>
      <c r="N120" t="n">
        <v>167200</v>
      </c>
      <c r="O120" t="n">
        <v>16720</v>
      </c>
      <c r="P120" t="inlineStr">
        <is>
          <t>2026-03-05</t>
        </is>
      </c>
      <c r="Q120" t="inlineStr">
        <is>
          <t>2027-04-01</t>
        </is>
      </c>
      <c r="R120" t="n">
        <v>14</v>
      </c>
      <c r="S120" t="inlineStr">
        <is>
          <t>Price negotiation</t>
        </is>
      </c>
      <c r="T120" t="inlineStr">
        <is>
          <t>Distributor</t>
        </is>
      </c>
      <c r="U120" t="inlineStr"/>
      <c r="V120">
        <f>IF(S120="",1,0)</f>
        <v/>
      </c>
      <c r="W120">
        <f>IF(J120="",1,0)</f>
        <v/>
      </c>
      <c r="X120">
        <f>IF(F120="",1,0)</f>
        <v/>
      </c>
      <c r="Y120">
        <f>IF(AND(AND(H120&lt;&gt;"Mass production",H120&lt;&gt;"Lost"),DATEVALUE(Q120)&lt;DATE(2026,10,20)),1,0)</f>
        <v/>
      </c>
      <c r="Z120">
        <f>IF(AND(AND(H120&lt;&gt;"Mass production",H120&lt;&gt;"Lost"),R120&gt;30),1,0)</f>
        <v/>
      </c>
      <c r="AA120">
        <f>IF(COUNTIFS($G$2:$G$247,G120,$F$2:$F$247,F120,$J$2:$J$247,J120,$K$2:$K$247,K120)&gt;1,1,0)</f>
        <v/>
      </c>
      <c r="AB120">
        <f>SUM(V120:AA120)</f>
        <v/>
      </c>
    </row>
    <row r="121">
      <c r="A121" t="inlineStr">
        <is>
          <t>OPP-26119</t>
        </is>
      </c>
      <c r="B121" t="inlineStr">
        <is>
          <t>Rhenus Tracking</t>
        </is>
      </c>
      <c r="C121" t="inlineStr">
        <is>
          <t>UK &amp; Ireland</t>
        </is>
      </c>
      <c r="D121" t="inlineStr">
        <is>
          <t>Ireland</t>
        </is>
      </c>
      <c r="E121" t="inlineStr">
        <is>
          <t>S. Clarke</t>
        </is>
      </c>
      <c r="F121" t="inlineStr">
        <is>
          <t>Asset tracking</t>
        </is>
      </c>
      <c r="G121" t="inlineStr">
        <is>
          <t>LTE-M / NB-IoT</t>
        </is>
      </c>
      <c r="H121" t="inlineStr">
        <is>
          <t>Sample / Evaluation</t>
        </is>
      </c>
      <c r="I121" t="n">
        <v>0.2</v>
      </c>
      <c r="J121" t="n">
        <v>30000</v>
      </c>
      <c r="K121" t="n">
        <v>6.9</v>
      </c>
      <c r="L121" t="n">
        <v>3</v>
      </c>
      <c r="M121" t="n">
        <v>207000</v>
      </c>
      <c r="N121" t="n">
        <v>621000</v>
      </c>
      <c r="O121" t="n">
        <v>124200</v>
      </c>
      <c r="P121" t="inlineStr">
        <is>
          <t>2026-03-06</t>
        </is>
      </c>
      <c r="Q121" t="inlineStr">
        <is>
          <t>2027-03-18</t>
        </is>
      </c>
      <c r="R121" t="n">
        <v>5</v>
      </c>
      <c r="S121" t="inlineStr">
        <is>
          <t>Send samples</t>
        </is>
      </c>
      <c r="T121" t="inlineStr">
        <is>
          <t>Direct</t>
        </is>
      </c>
      <c r="U121" t="inlineStr"/>
      <c r="V121">
        <f>IF(S121="",1,0)</f>
        <v/>
      </c>
      <c r="W121">
        <f>IF(J121="",1,0)</f>
        <v/>
      </c>
      <c r="X121">
        <f>IF(F121="",1,0)</f>
        <v/>
      </c>
      <c r="Y121">
        <f>IF(AND(AND(H121&lt;&gt;"Mass production",H121&lt;&gt;"Lost"),DATEVALUE(Q121)&lt;DATE(2026,10,20)),1,0)</f>
        <v/>
      </c>
      <c r="Z121">
        <f>IF(AND(AND(H121&lt;&gt;"Mass production",H121&lt;&gt;"Lost"),R121&gt;30),1,0)</f>
        <v/>
      </c>
      <c r="AA121">
        <f>IF(COUNTIFS($G$2:$G$247,G121,$F$2:$F$247,F121,$J$2:$J$247,J121,$K$2:$K$247,K121)&gt;1,1,0)</f>
        <v/>
      </c>
      <c r="AB121">
        <f>SUM(V121:AA121)</f>
        <v/>
      </c>
    </row>
    <row r="122">
      <c r="A122" t="inlineStr">
        <is>
          <t>OPP-26120</t>
        </is>
      </c>
      <c r="B122" t="inlineStr">
        <is>
          <t>Vector Devices</t>
        </is>
      </c>
      <c r="C122" t="inlineStr">
        <is>
          <t>UK &amp; Ireland</t>
        </is>
      </c>
      <c r="D122" t="inlineStr">
        <is>
          <t>United Kingdom</t>
        </is>
      </c>
      <c r="E122" t="inlineStr">
        <is>
          <t>R. Patel</t>
        </is>
      </c>
      <c r="F122" t="inlineStr">
        <is>
          <t>Telematics</t>
        </is>
      </c>
      <c r="G122" t="inlineStr">
        <is>
          <t>LTE Cat 1 bis</t>
        </is>
      </c>
      <c r="H122" t="inlineStr">
        <is>
          <t>Pilot</t>
        </is>
      </c>
      <c r="I122" t="n">
        <v>0.85</v>
      </c>
      <c r="J122" t="n">
        <v>15000</v>
      </c>
      <c r="K122" t="n">
        <v>8.029999999999999</v>
      </c>
      <c r="L122" t="n">
        <v>3</v>
      </c>
      <c r="M122" t="n">
        <v>120450</v>
      </c>
      <c r="N122" t="n">
        <v>361350</v>
      </c>
      <c r="O122" t="n">
        <v>307148</v>
      </c>
      <c r="P122" t="inlineStr">
        <is>
          <t>2025-09-07</t>
        </is>
      </c>
      <c r="Q122" t="inlineStr">
        <is>
          <t>2027-01-13</t>
        </is>
      </c>
      <c r="R122" t="n">
        <v>25</v>
      </c>
      <c r="S122" t="inlineStr">
        <is>
          <t>Price negotiation</t>
        </is>
      </c>
      <c r="T122" t="inlineStr">
        <is>
          <t>Direct</t>
        </is>
      </c>
      <c r="U122" t="inlineStr"/>
      <c r="V122">
        <f>IF(S122="",1,0)</f>
        <v/>
      </c>
      <c r="W122">
        <f>IF(J122="",1,0)</f>
        <v/>
      </c>
      <c r="X122">
        <f>IF(F122="",1,0)</f>
        <v/>
      </c>
      <c r="Y122">
        <f>IF(AND(AND(H122&lt;&gt;"Mass production",H122&lt;&gt;"Lost"),DATEVALUE(Q122)&lt;DATE(2026,10,20)),1,0)</f>
        <v/>
      </c>
      <c r="Z122">
        <f>IF(AND(AND(H122&lt;&gt;"Mass production",H122&lt;&gt;"Lost"),R122&gt;30),1,0)</f>
        <v/>
      </c>
      <c r="AA122">
        <f>IF(COUNTIFS($G$2:$G$247,G122,$F$2:$F$247,F122,$J$2:$J$247,J122,$K$2:$K$247,K122)&gt;1,1,0)</f>
        <v/>
      </c>
      <c r="AB122">
        <f>SUM(V122:AA122)</f>
        <v/>
      </c>
    </row>
    <row r="123">
      <c r="A123" t="inlineStr">
        <is>
          <t>OPP-26121</t>
        </is>
      </c>
      <c r="B123" t="inlineStr">
        <is>
          <t>Vector Metering</t>
        </is>
      </c>
      <c r="C123" t="inlineStr">
        <is>
          <t>DACH</t>
        </is>
      </c>
      <c r="D123" t="inlineStr">
        <is>
          <t>Germany</t>
        </is>
      </c>
      <c r="E123" t="inlineStr">
        <is>
          <t>J. Weber</t>
        </is>
      </c>
      <c r="F123" t="inlineStr">
        <is>
          <t>Smart home &amp; security</t>
        </is>
      </c>
      <c r="G123" t="inlineStr">
        <is>
          <t>GNSS</t>
        </is>
      </c>
      <c r="H123" t="inlineStr">
        <is>
          <t>Qualified</t>
        </is>
      </c>
      <c r="I123" t="n">
        <v>0.1</v>
      </c>
      <c r="J123" t="n">
        <v>50000</v>
      </c>
      <c r="K123" t="n">
        <v>6.19</v>
      </c>
      <c r="L123" t="n">
        <v>2</v>
      </c>
      <c r="M123" t="n">
        <v>309500</v>
      </c>
      <c r="N123" t="n">
        <v>619000</v>
      </c>
      <c r="O123" t="n">
        <v>61900</v>
      </c>
      <c r="P123" t="inlineStr">
        <is>
          <t>2025-04-12</t>
        </is>
      </c>
      <c r="Q123" t="inlineStr">
        <is>
          <t>2026-09-27</t>
        </is>
      </c>
      <c r="R123" t="n">
        <v>13</v>
      </c>
      <c r="S123" t="inlineStr">
        <is>
          <t>Quote revision</t>
        </is>
      </c>
      <c r="T123" t="inlineStr">
        <is>
          <t>Website</t>
        </is>
      </c>
      <c r="U123" t="inlineStr"/>
      <c r="V123">
        <f>IF(S123="",1,0)</f>
        <v/>
      </c>
      <c r="W123">
        <f>IF(J123="",1,0)</f>
        <v/>
      </c>
      <c r="X123">
        <f>IF(F123="",1,0)</f>
        <v/>
      </c>
      <c r="Y123">
        <f>IF(AND(AND(H123&lt;&gt;"Mass production",H123&lt;&gt;"Lost"),DATEVALUE(Q123)&lt;DATE(2026,10,20)),1,0)</f>
        <v/>
      </c>
      <c r="Z123">
        <f>IF(AND(AND(H123&lt;&gt;"Mass production",H123&lt;&gt;"Lost"),R123&gt;30),1,0)</f>
        <v/>
      </c>
      <c r="AA123">
        <f>IF(COUNTIFS($G$2:$G$247,G123,$F$2:$F$247,F123,$J$2:$J$247,J123,$K$2:$K$247,K123)&gt;1,1,0)</f>
        <v/>
      </c>
      <c r="AB123">
        <f>SUM(V123:AA123)</f>
        <v/>
      </c>
    </row>
    <row r="124">
      <c r="A124" t="inlineStr">
        <is>
          <t>OPP-26122</t>
        </is>
      </c>
      <c r="B124" t="inlineStr">
        <is>
          <t>Stellar Labs</t>
        </is>
      </c>
      <c r="C124" t="inlineStr">
        <is>
          <t>DACH</t>
        </is>
      </c>
      <c r="D124" t="inlineStr">
        <is>
          <t>Austria</t>
        </is>
      </c>
      <c r="E124" t="inlineStr">
        <is>
          <t>L. Hoffmann</t>
        </is>
      </c>
      <c r="F124" t="inlineStr">
        <is>
          <t>Smart metering</t>
        </is>
      </c>
      <c r="G124" t="inlineStr">
        <is>
          <t>5G eMBB</t>
        </is>
      </c>
      <c r="H124" t="inlineStr">
        <is>
          <t>Qualified</t>
        </is>
      </c>
      <c r="I124" t="n">
        <v>0.1</v>
      </c>
      <c r="J124" t="n">
        <v>15000</v>
      </c>
      <c r="K124" t="n">
        <v>112.82</v>
      </c>
      <c r="L124" t="n">
        <v>2</v>
      </c>
      <c r="M124" t="n">
        <v>1692300</v>
      </c>
      <c r="N124" t="n">
        <v>3384600</v>
      </c>
      <c r="O124" t="n">
        <v>338460</v>
      </c>
      <c r="P124" t="inlineStr">
        <is>
          <t>2025-05-24</t>
        </is>
      </c>
      <c r="Q124" t="inlineStr">
        <is>
          <t>2027-08-13</t>
        </is>
      </c>
      <c r="R124" t="n">
        <v>7</v>
      </c>
      <c r="S124" t="inlineStr">
        <is>
          <t>Send samples</t>
        </is>
      </c>
      <c r="T124" t="inlineStr">
        <is>
          <t>Distributor</t>
        </is>
      </c>
      <c r="U124" t="inlineStr"/>
      <c r="V124">
        <f>IF(S124="",1,0)</f>
        <v/>
      </c>
      <c r="W124">
        <f>IF(J124="",1,0)</f>
        <v/>
      </c>
      <c r="X124">
        <f>IF(F124="",1,0)</f>
        <v/>
      </c>
      <c r="Y124">
        <f>IF(AND(AND(H124&lt;&gt;"Mass production",H124&lt;&gt;"Lost"),DATEVALUE(Q124)&lt;DATE(2026,10,20)),1,0)</f>
        <v/>
      </c>
      <c r="Z124">
        <f>IF(AND(AND(H124&lt;&gt;"Mass production",H124&lt;&gt;"Lost"),R124&gt;30),1,0)</f>
        <v/>
      </c>
      <c r="AA124">
        <f>IF(COUNTIFS($G$2:$G$247,G124,$F$2:$F$247,F124,$J$2:$J$247,J124,$K$2:$K$247,K124)&gt;1,1,0)</f>
        <v/>
      </c>
      <c r="AB124">
        <f>SUM(V124:AA124)</f>
        <v/>
      </c>
    </row>
    <row r="125">
      <c r="A125" t="inlineStr">
        <is>
          <t>OPP-26123</t>
        </is>
      </c>
      <c r="B125" t="inlineStr">
        <is>
          <t>Iberix Telematics</t>
        </is>
      </c>
      <c r="C125" t="inlineStr">
        <is>
          <t>CEE</t>
        </is>
      </c>
      <c r="D125" t="inlineStr">
        <is>
          <t>Serbia</t>
        </is>
      </c>
      <c r="E125" t="inlineStr">
        <is>
          <t>D. Jovanovic</t>
        </is>
      </c>
      <c r="F125" t="inlineStr">
        <is>
          <t>Healthcare</t>
        </is>
      </c>
      <c r="G125" t="inlineStr">
        <is>
          <t>Wi-Fi / Bluetooth</t>
        </is>
      </c>
      <c r="H125" t="inlineStr">
        <is>
          <t>Lead</t>
        </is>
      </c>
      <c r="I125" t="n">
        <v>0.05</v>
      </c>
      <c r="J125" t="inlineStr"/>
      <c r="K125" t="n">
        <v>4.94</v>
      </c>
      <c r="L125" t="n">
        <v>3</v>
      </c>
      <c r="M125" t="n">
        <v>0</v>
      </c>
      <c r="N125" t="n">
        <v>0</v>
      </c>
      <c r="O125" t="n">
        <v>0</v>
      </c>
      <c r="P125" t="inlineStr">
        <is>
          <t>2026-06-13</t>
        </is>
      </c>
      <c r="Q125" t="inlineStr">
        <is>
          <t>2026-10-29</t>
        </is>
      </c>
      <c r="R125" t="n">
        <v>8</v>
      </c>
      <c r="S125" t="inlineStr">
        <is>
          <t>Pilot build follow-up</t>
        </is>
      </c>
      <c r="T125" t="inlineStr">
        <is>
          <t>Website</t>
        </is>
      </c>
      <c r="U125" t="inlineStr"/>
      <c r="V125">
        <f>IF(S125="",1,0)</f>
        <v/>
      </c>
      <c r="W125">
        <f>IF(J125="",1,0)</f>
        <v/>
      </c>
      <c r="X125">
        <f>IF(F125="",1,0)</f>
        <v/>
      </c>
      <c r="Y125">
        <f>IF(AND(AND(H125&lt;&gt;"Mass production",H125&lt;&gt;"Lost"),DATEVALUE(Q125)&lt;DATE(2026,10,20)),1,0)</f>
        <v/>
      </c>
      <c r="Z125">
        <f>IF(AND(AND(H125&lt;&gt;"Mass production",H125&lt;&gt;"Lost"),R125&gt;30),1,0)</f>
        <v/>
      </c>
      <c r="AA125">
        <f>IF(COUNTIFS($G$2:$G$247,G125,$F$2:$F$247,F125,$J$2:$J$247,J125,$K$2:$K$247,K125)&gt;1,1,0)</f>
        <v/>
      </c>
      <c r="AB125">
        <f>SUM(V125:AA125)</f>
        <v/>
      </c>
    </row>
    <row r="126">
      <c r="A126" t="inlineStr">
        <is>
          <t>OPP-26124</t>
        </is>
      </c>
      <c r="B126" t="inlineStr">
        <is>
          <t>Alpenlink Electronics</t>
        </is>
      </c>
      <c r="C126" t="inlineStr">
        <is>
          <t>DACH</t>
        </is>
      </c>
      <c r="D126" t="inlineStr">
        <is>
          <t>Germany</t>
        </is>
      </c>
      <c r="E126" t="inlineStr">
        <is>
          <t>L. Hoffmann</t>
        </is>
      </c>
      <c r="F126" t="inlineStr">
        <is>
          <t>Telematics</t>
        </is>
      </c>
      <c r="G126" t="inlineStr">
        <is>
          <t>5G eMBB</t>
        </is>
      </c>
      <c r="H126" t="inlineStr">
        <is>
          <t>Design-in</t>
        </is>
      </c>
      <c r="I126" t="n">
        <v>0.4</v>
      </c>
      <c r="J126" t="n">
        <v>8000</v>
      </c>
      <c r="K126" t="n">
        <v>139.46</v>
      </c>
      <c r="L126" t="n">
        <v>3</v>
      </c>
      <c r="M126" t="n">
        <v>1115680</v>
      </c>
      <c r="N126" t="n">
        <v>3347040</v>
      </c>
      <c r="O126" t="n">
        <v>1338816</v>
      </c>
      <c r="P126" t="inlineStr">
        <is>
          <t>2026-07-10</t>
        </is>
      </c>
      <c r="Q126" t="inlineStr">
        <is>
          <t>2027-08-10</t>
        </is>
      </c>
      <c r="R126" t="n">
        <v>13</v>
      </c>
      <c r="S126" t="inlineStr">
        <is>
          <t>Send samples</t>
        </is>
      </c>
      <c r="T126" t="inlineStr">
        <is>
          <t>Tradeshow</t>
        </is>
      </c>
      <c r="U126" t="inlineStr"/>
      <c r="V126">
        <f>IF(S126="",1,0)</f>
        <v/>
      </c>
      <c r="W126">
        <f>IF(J126="",1,0)</f>
        <v/>
      </c>
      <c r="X126">
        <f>IF(F126="",1,0)</f>
        <v/>
      </c>
      <c r="Y126">
        <f>IF(AND(AND(H126&lt;&gt;"Mass production",H126&lt;&gt;"Lost"),DATEVALUE(Q126)&lt;DATE(2026,10,20)),1,0)</f>
        <v/>
      </c>
      <c r="Z126">
        <f>IF(AND(AND(H126&lt;&gt;"Mass production",H126&lt;&gt;"Lost"),R126&gt;30),1,0)</f>
        <v/>
      </c>
      <c r="AA126">
        <f>IF(COUNTIFS($G$2:$G$247,G126,$F$2:$F$247,F126,$J$2:$J$247,J126,$K$2:$K$247,K126)&gt;1,1,0)</f>
        <v/>
      </c>
      <c r="AB126">
        <f>SUM(V126:AA126)</f>
        <v/>
      </c>
    </row>
    <row r="127">
      <c r="A127" t="inlineStr">
        <is>
          <t>OPP-26125</t>
        </is>
      </c>
      <c r="B127" t="inlineStr">
        <is>
          <t>Orbis Connect</t>
        </is>
      </c>
      <c r="C127" t="inlineStr">
        <is>
          <t>UK &amp; Ireland</t>
        </is>
      </c>
      <c r="D127" t="inlineStr">
        <is>
          <t>United Kingdom</t>
        </is>
      </c>
      <c r="E127" t="inlineStr">
        <is>
          <t>R. Patel</t>
        </is>
      </c>
      <c r="F127" t="inlineStr">
        <is>
          <t>POS &amp; payments</t>
        </is>
      </c>
      <c r="G127" t="inlineStr">
        <is>
          <t>LTE-M / NB-IoT</t>
        </is>
      </c>
      <c r="H127" t="inlineStr">
        <is>
          <t>Design-in</t>
        </is>
      </c>
      <c r="I127" t="n">
        <v>0.4</v>
      </c>
      <c r="J127" t="n">
        <v>15000</v>
      </c>
      <c r="K127" t="n">
        <v>7.43</v>
      </c>
      <c r="L127" t="n">
        <v>5</v>
      </c>
      <c r="M127" t="n">
        <v>111450</v>
      </c>
      <c r="N127" t="n">
        <v>557250</v>
      </c>
      <c r="O127" t="n">
        <v>222900</v>
      </c>
      <c r="P127" t="inlineStr">
        <is>
          <t>2026-06-25</t>
        </is>
      </c>
      <c r="Q127" t="inlineStr">
        <is>
          <t>2027-06-07</t>
        </is>
      </c>
      <c r="R127" t="n">
        <v>14</v>
      </c>
      <c r="S127" t="inlineStr">
        <is>
          <t>Send samples</t>
        </is>
      </c>
      <c r="T127" t="inlineStr">
        <is>
          <t>FAE referral</t>
        </is>
      </c>
      <c r="U127" t="inlineStr"/>
      <c r="V127">
        <f>IF(S127="",1,0)</f>
        <v/>
      </c>
      <c r="W127">
        <f>IF(J127="",1,0)</f>
        <v/>
      </c>
      <c r="X127">
        <f>IF(F127="",1,0)</f>
        <v/>
      </c>
      <c r="Y127">
        <f>IF(AND(AND(H127&lt;&gt;"Mass production",H127&lt;&gt;"Lost"),DATEVALUE(Q127)&lt;DATE(2026,10,20)),1,0)</f>
        <v/>
      </c>
      <c r="Z127">
        <f>IF(AND(AND(H127&lt;&gt;"Mass production",H127&lt;&gt;"Lost"),R127&gt;30),1,0)</f>
        <v/>
      </c>
      <c r="AA127">
        <f>IF(COUNTIFS($G$2:$G$247,G127,$F$2:$F$247,F127,$J$2:$J$247,J127,$K$2:$K$247,K127)&gt;1,1,0)</f>
        <v/>
      </c>
      <c r="AB127">
        <f>SUM(V127:AA127)</f>
        <v/>
      </c>
    </row>
    <row r="128">
      <c r="A128" t="inlineStr">
        <is>
          <t>OPP-26126</t>
        </is>
      </c>
      <c r="B128" t="inlineStr">
        <is>
          <t>Cedar Mobility</t>
        </is>
      </c>
      <c r="C128" t="inlineStr">
        <is>
          <t>Middle East &amp; Africa</t>
        </is>
      </c>
      <c r="D128" t="inlineStr">
        <is>
          <t>UAE</t>
        </is>
      </c>
      <c r="E128" t="inlineStr">
        <is>
          <t>Y. Cohen</t>
        </is>
      </c>
      <c r="F128" t="inlineStr">
        <is>
          <t>Smart home &amp; security</t>
        </is>
      </c>
      <c r="G128" t="inlineStr">
        <is>
          <t>GNSS</t>
        </is>
      </c>
      <c r="H128" t="inlineStr">
        <is>
          <t>Lost</t>
        </is>
      </c>
      <c r="I128" t="n">
        <v>0</v>
      </c>
      <c r="J128" t="n">
        <v>5000</v>
      </c>
      <c r="K128" t="n">
        <v>7.12</v>
      </c>
      <c r="L128" t="n">
        <v>3</v>
      </c>
      <c r="M128" t="n">
        <v>35600</v>
      </c>
      <c r="N128" t="n">
        <v>106800</v>
      </c>
      <c r="O128" t="n">
        <v>0</v>
      </c>
      <c r="P128" t="inlineStr">
        <is>
          <t>2026-09-14</t>
        </is>
      </c>
      <c r="Q128" t="inlineStr">
        <is>
          <t>2026-10-01</t>
        </is>
      </c>
      <c r="R128" t="n">
        <v>2</v>
      </c>
      <c r="S128" t="inlineStr">
        <is>
          <t>Forecast confirmation</t>
        </is>
      </c>
      <c r="T128" t="inlineStr">
        <is>
          <t>Distributor</t>
        </is>
      </c>
      <c r="U128" t="inlineStr">
        <is>
          <t>Competitor module</t>
        </is>
      </c>
      <c r="V128">
        <f>IF(S128="",1,0)</f>
        <v/>
      </c>
      <c r="W128">
        <f>IF(J128="",1,0)</f>
        <v/>
      </c>
      <c r="X128">
        <f>IF(F128="",1,0)</f>
        <v/>
      </c>
      <c r="Y128">
        <f>IF(AND(AND(H128&lt;&gt;"Mass production",H128&lt;&gt;"Lost"),DATEVALUE(Q128)&lt;DATE(2026,10,20)),1,0)</f>
        <v/>
      </c>
      <c r="Z128">
        <f>IF(AND(AND(H128&lt;&gt;"Mass production",H128&lt;&gt;"Lost"),R128&gt;30),1,0)</f>
        <v/>
      </c>
      <c r="AA128">
        <f>IF(COUNTIFS($G$2:$G$247,G128,$F$2:$F$247,F128,$J$2:$J$247,J128,$K$2:$K$247,K128)&gt;1,1,0)</f>
        <v/>
      </c>
      <c r="AB128">
        <f>SUM(V128:AA128)</f>
        <v/>
      </c>
    </row>
    <row r="129">
      <c r="A129" t="inlineStr">
        <is>
          <t>OPP-26127</t>
        </is>
      </c>
      <c r="B129" t="inlineStr">
        <is>
          <t>Corvid Health</t>
        </is>
      </c>
      <c r="C129" t="inlineStr">
        <is>
          <t>DACH</t>
        </is>
      </c>
      <c r="D129" t="inlineStr">
        <is>
          <t>Germany</t>
        </is>
      </c>
      <c r="E129" t="inlineStr">
        <is>
          <t>L. Hoffmann</t>
        </is>
      </c>
      <c r="F129" t="inlineStr">
        <is>
          <t>Healthcare</t>
        </is>
      </c>
      <c r="G129" t="inlineStr">
        <is>
          <t>GNSS</t>
        </is>
      </c>
      <c r="H129" t="inlineStr">
        <is>
          <t>Pilot</t>
        </is>
      </c>
      <c r="I129" t="n">
        <v>0.85</v>
      </c>
      <c r="J129" t="n">
        <v>15000</v>
      </c>
      <c r="K129" t="n">
        <v>7.6</v>
      </c>
      <c r="L129" t="n">
        <v>2</v>
      </c>
      <c r="M129" t="n">
        <v>114000</v>
      </c>
      <c r="N129" t="n">
        <v>228000</v>
      </c>
      <c r="O129" t="n">
        <v>193800</v>
      </c>
      <c r="P129" t="inlineStr">
        <is>
          <t>2026-06-22</t>
        </is>
      </c>
      <c r="Q129" t="inlineStr">
        <is>
          <t>2027-04-21</t>
        </is>
      </c>
      <c r="R129" t="n">
        <v>17</v>
      </c>
      <c r="S129" t="inlineStr">
        <is>
          <t>Send samples</t>
        </is>
      </c>
      <c r="T129" t="inlineStr">
        <is>
          <t>Tradeshow</t>
        </is>
      </c>
      <c r="U129" t="inlineStr"/>
      <c r="V129">
        <f>IF(S129="",1,0)</f>
        <v/>
      </c>
      <c r="W129">
        <f>IF(J129="",1,0)</f>
        <v/>
      </c>
      <c r="X129">
        <f>IF(F129="",1,0)</f>
        <v/>
      </c>
      <c r="Y129">
        <f>IF(AND(AND(H129&lt;&gt;"Mass production",H129&lt;&gt;"Lost"),DATEVALUE(Q129)&lt;DATE(2026,10,20)),1,0)</f>
        <v/>
      </c>
      <c r="Z129">
        <f>IF(AND(AND(H129&lt;&gt;"Mass production",H129&lt;&gt;"Lost"),R129&gt;30),1,0)</f>
        <v/>
      </c>
      <c r="AA129">
        <f>IF(COUNTIFS($G$2:$G$247,G129,$F$2:$F$247,F129,$J$2:$J$247,J129,$K$2:$K$247,K129)&gt;1,1,0)</f>
        <v/>
      </c>
      <c r="AB129">
        <f>SUM(V129:AA129)</f>
        <v/>
      </c>
    </row>
    <row r="130">
      <c r="A130" t="inlineStr">
        <is>
          <t>OPP-26128</t>
        </is>
      </c>
      <c r="B130" t="inlineStr">
        <is>
          <t>Alpenlink Labs</t>
        </is>
      </c>
      <c r="C130" t="inlineStr">
        <is>
          <t>Nordics</t>
        </is>
      </c>
      <c r="D130" t="inlineStr">
        <is>
          <t>Sweden</t>
        </is>
      </c>
      <c r="E130" t="inlineStr">
        <is>
          <t>E. Lindqvist</t>
        </is>
      </c>
      <c r="F130" t="inlineStr">
        <is>
          <t>Industrial IoT</t>
        </is>
      </c>
      <c r="G130" t="inlineStr">
        <is>
          <t>LTE Cat 1 bis</t>
        </is>
      </c>
      <c r="H130" t="inlineStr">
        <is>
          <t>Design-in</t>
        </is>
      </c>
      <c r="I130" t="n">
        <v>0.4</v>
      </c>
      <c r="J130" t="n">
        <v>20000</v>
      </c>
      <c r="K130" t="n">
        <v>9.44</v>
      </c>
      <c r="L130" t="n">
        <v>4</v>
      </c>
      <c r="M130" t="n">
        <v>188800</v>
      </c>
      <c r="N130" t="n">
        <v>755200</v>
      </c>
      <c r="O130" t="n">
        <v>302080</v>
      </c>
      <c r="P130" t="inlineStr">
        <is>
          <t>2026-03-24</t>
        </is>
      </c>
      <c r="Q130" t="inlineStr">
        <is>
          <t>2026-09-21</t>
        </is>
      </c>
      <c r="R130" t="n">
        <v>27</v>
      </c>
      <c r="S130" t="inlineStr">
        <is>
          <t>Technical review call</t>
        </is>
      </c>
      <c r="T130" t="inlineStr">
        <is>
          <t>Direct</t>
        </is>
      </c>
      <c r="U130" t="inlineStr"/>
      <c r="V130">
        <f>IF(S130="",1,0)</f>
        <v/>
      </c>
      <c r="W130">
        <f>IF(J130="",1,0)</f>
        <v/>
      </c>
      <c r="X130">
        <f>IF(F130="",1,0)</f>
        <v/>
      </c>
      <c r="Y130">
        <f>IF(AND(AND(H130&lt;&gt;"Mass production",H130&lt;&gt;"Lost"),DATEVALUE(Q130)&lt;DATE(2026,10,20)),1,0)</f>
        <v/>
      </c>
      <c r="Z130">
        <f>IF(AND(AND(H130&lt;&gt;"Mass production",H130&lt;&gt;"Lost"),R130&gt;30),1,0)</f>
        <v/>
      </c>
      <c r="AA130">
        <f>IF(COUNTIFS($G$2:$G$247,G130,$F$2:$F$247,F130,$J$2:$J$247,J130,$K$2:$K$247,K130)&gt;1,1,0)</f>
        <v/>
      </c>
      <c r="AB130">
        <f>SUM(V130:AA130)</f>
        <v/>
      </c>
    </row>
    <row r="131">
      <c r="A131" t="inlineStr">
        <is>
          <t>OPP-26129</t>
        </is>
      </c>
      <c r="B131" t="inlineStr">
        <is>
          <t>Ferro Systems</t>
        </is>
      </c>
      <c r="C131" t="inlineStr">
        <is>
          <t>CEE</t>
        </is>
      </c>
      <c r="D131" t="inlineStr">
        <is>
          <t>Poland</t>
        </is>
      </c>
      <c r="E131" t="inlineStr">
        <is>
          <t>K. Nowak</t>
        </is>
      </c>
      <c r="F131" t="inlineStr">
        <is>
          <t>Smart home &amp; security</t>
        </is>
      </c>
      <c r="G131" t="inlineStr">
        <is>
          <t>LTE Cat 1 bis</t>
        </is>
      </c>
      <c r="H131" t="inlineStr">
        <is>
          <t>Sample / Evaluation</t>
        </is>
      </c>
      <c r="I131" t="n">
        <v>0.2</v>
      </c>
      <c r="J131" t="n">
        <v>2000</v>
      </c>
      <c r="K131" t="n">
        <v>7.87</v>
      </c>
      <c r="L131" t="n">
        <v>3</v>
      </c>
      <c r="M131" t="n">
        <v>15740</v>
      </c>
      <c r="N131" t="n">
        <v>47220</v>
      </c>
      <c r="O131" t="n">
        <v>9444</v>
      </c>
      <c r="P131" t="inlineStr">
        <is>
          <t>2025-07-02</t>
        </is>
      </c>
      <c r="Q131" t="inlineStr">
        <is>
          <t>2027-03-13</t>
        </is>
      </c>
      <c r="R131" t="n">
        <v>12</v>
      </c>
      <c r="S131" t="inlineStr">
        <is>
          <t>Price negotiation</t>
        </is>
      </c>
      <c r="T131" t="inlineStr">
        <is>
          <t>Distributor</t>
        </is>
      </c>
      <c r="U131" t="inlineStr"/>
      <c r="V131">
        <f>IF(S131="",1,0)</f>
        <v/>
      </c>
      <c r="W131">
        <f>IF(J131="",1,0)</f>
        <v/>
      </c>
      <c r="X131">
        <f>IF(F131="",1,0)</f>
        <v/>
      </c>
      <c r="Y131">
        <f>IF(AND(AND(H131&lt;&gt;"Mass production",H131&lt;&gt;"Lost"),DATEVALUE(Q131)&lt;DATE(2026,10,20)),1,0)</f>
        <v/>
      </c>
      <c r="Z131">
        <f>IF(AND(AND(H131&lt;&gt;"Mass production",H131&lt;&gt;"Lost"),R131&gt;30),1,0)</f>
        <v/>
      </c>
      <c r="AA131">
        <f>IF(COUNTIFS($G$2:$G$247,G131,$F$2:$F$247,F131,$J$2:$J$247,J131,$K$2:$K$247,K131)&gt;1,1,0)</f>
        <v/>
      </c>
      <c r="AB131">
        <f>SUM(V131:AA131)</f>
        <v/>
      </c>
    </row>
    <row r="132">
      <c r="A132" t="inlineStr">
        <is>
          <t>OPP-26130</t>
        </is>
      </c>
      <c r="B132" t="inlineStr">
        <is>
          <t>Baltix Devices</t>
        </is>
      </c>
      <c r="C132" t="inlineStr">
        <is>
          <t>Nordics</t>
        </is>
      </c>
      <c r="D132" t="inlineStr">
        <is>
          <t>Sweden</t>
        </is>
      </c>
      <c r="E132" t="inlineStr">
        <is>
          <t>E. Lindqvist</t>
        </is>
      </c>
      <c r="F132" t="inlineStr"/>
      <c r="G132" t="inlineStr">
        <is>
          <t>LTE Cat 1 bis</t>
        </is>
      </c>
      <c r="H132" t="inlineStr">
        <is>
          <t>Lead</t>
        </is>
      </c>
      <c r="I132" t="n">
        <v>0.05</v>
      </c>
      <c r="J132" t="n">
        <v>80000</v>
      </c>
      <c r="K132" t="n">
        <v>9.44</v>
      </c>
      <c r="L132" t="n">
        <v>5</v>
      </c>
      <c r="M132" t="n">
        <v>755200</v>
      </c>
      <c r="N132" t="n">
        <v>3776000</v>
      </c>
      <c r="O132" t="n">
        <v>188800</v>
      </c>
      <c r="P132" t="inlineStr">
        <is>
          <t>2025-11-02</t>
        </is>
      </c>
      <c r="Q132" t="inlineStr">
        <is>
          <t>2027-11-26</t>
        </is>
      </c>
      <c r="R132" t="n">
        <v>6</v>
      </c>
      <c r="S132" t="inlineStr">
        <is>
          <t>Quote revision</t>
        </is>
      </c>
      <c r="T132" t="inlineStr">
        <is>
          <t>Tradeshow</t>
        </is>
      </c>
      <c r="U132" t="inlineStr"/>
      <c r="V132">
        <f>IF(S132="",1,0)</f>
        <v/>
      </c>
      <c r="W132">
        <f>IF(J132="",1,0)</f>
        <v/>
      </c>
      <c r="X132">
        <f>IF(F132="",1,0)</f>
        <v/>
      </c>
      <c r="Y132">
        <f>IF(AND(AND(H132&lt;&gt;"Mass production",H132&lt;&gt;"Lost"),DATEVALUE(Q132)&lt;DATE(2026,10,20)),1,0)</f>
        <v/>
      </c>
      <c r="Z132">
        <f>IF(AND(AND(H132&lt;&gt;"Mass production",H132&lt;&gt;"Lost"),R132&gt;30),1,0)</f>
        <v/>
      </c>
      <c r="AA132">
        <f>IF(COUNTIFS($G$2:$G$247,G132,$F$2:$F$247,F132,$J$2:$J$247,J132,$K$2:$K$247,K132)&gt;1,1,0)</f>
        <v/>
      </c>
      <c r="AB132">
        <f>SUM(V132:AA132)</f>
        <v/>
      </c>
    </row>
    <row r="133">
      <c r="A133" t="inlineStr">
        <is>
          <t>OPP-26131</t>
        </is>
      </c>
      <c r="B133" t="inlineStr">
        <is>
          <t>Corvid Systems</t>
        </is>
      </c>
      <c r="C133" t="inlineStr">
        <is>
          <t>France &amp; Benelux</t>
        </is>
      </c>
      <c r="D133" t="inlineStr">
        <is>
          <t>Belgium</t>
        </is>
      </c>
      <c r="E133" t="inlineStr">
        <is>
          <t>C. Martin</t>
        </is>
      </c>
      <c r="F133" t="inlineStr">
        <is>
          <t>Telematics</t>
        </is>
      </c>
      <c r="G133" t="inlineStr">
        <is>
          <t>LTE-M / NB-IoT</t>
        </is>
      </c>
      <c r="H133" t="inlineStr">
        <is>
          <t>Sample / Evaluation</t>
        </is>
      </c>
      <c r="I133" t="n">
        <v>0.2</v>
      </c>
      <c r="J133" t="n">
        <v>5000</v>
      </c>
      <c r="K133" t="n">
        <v>5.94</v>
      </c>
      <c r="L133" t="n">
        <v>4</v>
      </c>
      <c r="M133" t="n">
        <v>29700</v>
      </c>
      <c r="N133" t="n">
        <v>118800</v>
      </c>
      <c r="O133" t="n">
        <v>23760</v>
      </c>
      <c r="P133" t="inlineStr">
        <is>
          <t>2025-12-22</t>
        </is>
      </c>
      <c r="Q133" t="inlineStr">
        <is>
          <t>2026-10-10</t>
        </is>
      </c>
      <c r="R133" t="n">
        <v>4</v>
      </c>
      <c r="S133" t="inlineStr">
        <is>
          <t>Certification plan</t>
        </is>
      </c>
      <c r="T133" t="inlineStr">
        <is>
          <t>Distributor</t>
        </is>
      </c>
      <c r="U133" t="inlineStr"/>
      <c r="V133">
        <f>IF(S133="",1,0)</f>
        <v/>
      </c>
      <c r="W133">
        <f>IF(J133="",1,0)</f>
        <v/>
      </c>
      <c r="X133">
        <f>IF(F133="",1,0)</f>
        <v/>
      </c>
      <c r="Y133">
        <f>IF(AND(AND(H133&lt;&gt;"Mass production",H133&lt;&gt;"Lost"),DATEVALUE(Q133)&lt;DATE(2026,10,20)),1,0)</f>
        <v/>
      </c>
      <c r="Z133">
        <f>IF(AND(AND(H133&lt;&gt;"Mass production",H133&lt;&gt;"Lost"),R133&gt;30),1,0)</f>
        <v/>
      </c>
      <c r="AA133">
        <f>IF(COUNTIFS($G$2:$G$247,G133,$F$2:$F$247,F133,$J$2:$J$247,J133,$K$2:$K$247,K133)&gt;1,1,0)</f>
        <v/>
      </c>
      <c r="AB133">
        <f>SUM(V133:AA133)</f>
        <v/>
      </c>
    </row>
    <row r="134">
      <c r="A134" t="inlineStr">
        <is>
          <t>OPP-26132</t>
        </is>
      </c>
      <c r="B134" t="inlineStr">
        <is>
          <t>Nordwind Telematics</t>
        </is>
      </c>
      <c r="C134" t="inlineStr">
        <is>
          <t>Nordics</t>
        </is>
      </c>
      <c r="D134" t="inlineStr">
        <is>
          <t>Sweden</t>
        </is>
      </c>
      <c r="E134" t="inlineStr">
        <is>
          <t>E. Lindqvist</t>
        </is>
      </c>
      <c r="F134" t="inlineStr">
        <is>
          <t>Telematics</t>
        </is>
      </c>
      <c r="G134" t="inlineStr">
        <is>
          <t>GNSS</t>
        </is>
      </c>
      <c r="H134" t="inlineStr">
        <is>
          <t>Sample / Evaluation</t>
        </is>
      </c>
      <c r="I134" t="n">
        <v>0.2</v>
      </c>
      <c r="J134" t="n">
        <v>15000</v>
      </c>
      <c r="K134" t="n">
        <v>5.59</v>
      </c>
      <c r="L134" t="n">
        <v>4</v>
      </c>
      <c r="M134" t="n">
        <v>83850</v>
      </c>
      <c r="N134" t="n">
        <v>335400</v>
      </c>
      <c r="O134" t="n">
        <v>67080</v>
      </c>
      <c r="P134" t="inlineStr">
        <is>
          <t>2025-10-23</t>
        </is>
      </c>
      <c r="Q134" t="inlineStr">
        <is>
          <t>2027-04-18</t>
        </is>
      </c>
      <c r="R134" t="n">
        <v>13</v>
      </c>
      <c r="S134" t="inlineStr">
        <is>
          <t>Forecast confirmation</t>
        </is>
      </c>
      <c r="T134" t="inlineStr">
        <is>
          <t>Direct</t>
        </is>
      </c>
      <c r="U134" t="inlineStr"/>
      <c r="V134">
        <f>IF(S134="",1,0)</f>
        <v/>
      </c>
      <c r="W134">
        <f>IF(J134="",1,0)</f>
        <v/>
      </c>
      <c r="X134">
        <f>IF(F134="",1,0)</f>
        <v/>
      </c>
      <c r="Y134">
        <f>IF(AND(AND(H134&lt;&gt;"Mass production",H134&lt;&gt;"Lost"),DATEVALUE(Q134)&lt;DATE(2026,10,20)),1,0)</f>
        <v/>
      </c>
      <c r="Z134">
        <f>IF(AND(AND(H134&lt;&gt;"Mass production",H134&lt;&gt;"Lost"),R134&gt;30),1,0)</f>
        <v/>
      </c>
      <c r="AA134">
        <f>IF(COUNTIFS($G$2:$G$247,G134,$F$2:$F$247,F134,$J$2:$J$247,J134,$K$2:$K$247,K134)&gt;1,1,0)</f>
        <v/>
      </c>
      <c r="AB134">
        <f>SUM(V134:AA134)</f>
        <v/>
      </c>
    </row>
    <row r="135">
      <c r="A135" t="inlineStr">
        <is>
          <t>OPP-26133</t>
        </is>
      </c>
      <c r="B135" t="inlineStr">
        <is>
          <t>Meridian Electronics</t>
        </is>
      </c>
      <c r="C135" t="inlineStr">
        <is>
          <t>CEE</t>
        </is>
      </c>
      <c r="D135" t="inlineStr">
        <is>
          <t>Serbia</t>
        </is>
      </c>
      <c r="E135" t="inlineStr">
        <is>
          <t>K. Nowak</t>
        </is>
      </c>
      <c r="F135" t="inlineStr">
        <is>
          <t>Asset tracking</t>
        </is>
      </c>
      <c r="G135" t="inlineStr">
        <is>
          <t>Smart module</t>
        </is>
      </c>
      <c r="H135" t="inlineStr">
        <is>
          <t>Sample / Evaluation</t>
        </is>
      </c>
      <c r="I135" t="n">
        <v>0.2</v>
      </c>
      <c r="J135" t="n">
        <v>80000</v>
      </c>
      <c r="K135" t="n">
        <v>76.65000000000001</v>
      </c>
      <c r="L135" t="n">
        <v>3</v>
      </c>
      <c r="M135" t="n">
        <v>6132000</v>
      </c>
      <c r="N135" t="n">
        <v>18396000</v>
      </c>
      <c r="O135" t="n">
        <v>3679200</v>
      </c>
      <c r="P135" t="inlineStr">
        <is>
          <t>2025-11-01</t>
        </is>
      </c>
      <c r="Q135" t="inlineStr">
        <is>
          <t>2027-03-21</t>
        </is>
      </c>
      <c r="R135" t="n">
        <v>4</v>
      </c>
      <c r="S135" t="inlineStr">
        <is>
          <t>Send samples</t>
        </is>
      </c>
      <c r="T135" t="inlineStr">
        <is>
          <t>FAE referral</t>
        </is>
      </c>
      <c r="U135" t="inlineStr"/>
      <c r="V135">
        <f>IF(S135="",1,0)</f>
        <v/>
      </c>
      <c r="W135">
        <f>IF(J135="",1,0)</f>
        <v/>
      </c>
      <c r="X135">
        <f>IF(F135="",1,0)</f>
        <v/>
      </c>
      <c r="Y135">
        <f>IF(AND(AND(H135&lt;&gt;"Mass production",H135&lt;&gt;"Lost"),DATEVALUE(Q135)&lt;DATE(2026,10,20)),1,0)</f>
        <v/>
      </c>
      <c r="Z135">
        <f>IF(AND(AND(H135&lt;&gt;"Mass production",H135&lt;&gt;"Lost"),R135&gt;30),1,0)</f>
        <v/>
      </c>
      <c r="AA135">
        <f>IF(COUNTIFS($G$2:$G$247,G135,$F$2:$F$247,F135,$J$2:$J$247,J135,$K$2:$K$247,K135)&gt;1,1,0)</f>
        <v/>
      </c>
      <c r="AB135">
        <f>SUM(V135:AA135)</f>
        <v/>
      </c>
    </row>
    <row r="136">
      <c r="A136" t="inlineStr">
        <is>
          <t>OPP-26134</t>
        </is>
      </c>
      <c r="B136" t="inlineStr">
        <is>
          <t>Stellar Labs</t>
        </is>
      </c>
      <c r="C136" t="inlineStr">
        <is>
          <t>DACH</t>
        </is>
      </c>
      <c r="D136" t="inlineStr">
        <is>
          <t>Austria</t>
        </is>
      </c>
      <c r="E136" t="inlineStr">
        <is>
          <t>J. Weber</t>
        </is>
      </c>
      <c r="F136" t="inlineStr">
        <is>
          <t>Smart home &amp; security</t>
        </is>
      </c>
      <c r="G136" t="inlineStr">
        <is>
          <t>Wi-Fi / Bluetooth</t>
        </is>
      </c>
      <c r="H136" t="inlineStr">
        <is>
          <t>Qualified</t>
        </is>
      </c>
      <c r="I136" t="n">
        <v>0.1</v>
      </c>
      <c r="J136" t="n">
        <v>3000</v>
      </c>
      <c r="K136" t="n">
        <v>3.52</v>
      </c>
      <c r="L136" t="n">
        <v>4</v>
      </c>
      <c r="M136" t="n">
        <v>10560</v>
      </c>
      <c r="N136" t="n">
        <v>42240</v>
      </c>
      <c r="O136" t="n">
        <v>4224</v>
      </c>
      <c r="P136" t="inlineStr">
        <is>
          <t>2025-05-07</t>
        </is>
      </c>
      <c r="Q136" t="inlineStr">
        <is>
          <t>2026-11-20</t>
        </is>
      </c>
      <c r="R136" t="n">
        <v>10</v>
      </c>
      <c r="S136" t="inlineStr">
        <is>
          <t>Design review</t>
        </is>
      </c>
      <c r="T136" t="inlineStr">
        <is>
          <t>Direct</t>
        </is>
      </c>
      <c r="U136" t="inlineStr"/>
      <c r="V136">
        <f>IF(S136="",1,0)</f>
        <v/>
      </c>
      <c r="W136">
        <f>IF(J136="",1,0)</f>
        <v/>
      </c>
      <c r="X136">
        <f>IF(F136="",1,0)</f>
        <v/>
      </c>
      <c r="Y136">
        <f>IF(AND(AND(H136&lt;&gt;"Mass production",H136&lt;&gt;"Lost"),DATEVALUE(Q136)&lt;DATE(2026,10,20)),1,0)</f>
        <v/>
      </c>
      <c r="Z136">
        <f>IF(AND(AND(H136&lt;&gt;"Mass production",H136&lt;&gt;"Lost"),R136&gt;30),1,0)</f>
        <v/>
      </c>
      <c r="AA136">
        <f>IF(COUNTIFS($G$2:$G$247,G136,$F$2:$F$247,F136,$J$2:$J$247,J136,$K$2:$K$247,K136)&gt;1,1,0)</f>
        <v/>
      </c>
      <c r="AB136">
        <f>SUM(V136:AA136)</f>
        <v/>
      </c>
    </row>
    <row r="137">
      <c r="A137" t="inlineStr">
        <is>
          <t>OPP-26135</t>
        </is>
      </c>
      <c r="B137" t="inlineStr">
        <is>
          <t>Rhenus Devices</t>
        </is>
      </c>
      <c r="C137" t="inlineStr">
        <is>
          <t>DACH</t>
        </is>
      </c>
      <c r="D137" t="inlineStr">
        <is>
          <t>Austria</t>
        </is>
      </c>
      <c r="E137" t="inlineStr">
        <is>
          <t>L. Hoffmann</t>
        </is>
      </c>
      <c r="F137" t="inlineStr">
        <is>
          <t>Asset tracking</t>
        </is>
      </c>
      <c r="G137" t="inlineStr">
        <is>
          <t>GNSS</t>
        </is>
      </c>
      <c r="H137" t="inlineStr">
        <is>
          <t>Design-win</t>
        </is>
      </c>
      <c r="I137" t="n">
        <v>0.7</v>
      </c>
      <c r="J137" t="n">
        <v>20000</v>
      </c>
      <c r="K137" t="n">
        <v>6.29</v>
      </c>
      <c r="L137" t="n">
        <v>5</v>
      </c>
      <c r="M137" t="n">
        <v>125800</v>
      </c>
      <c r="N137" t="n">
        <v>629000</v>
      </c>
      <c r="O137" t="n">
        <v>440300</v>
      </c>
      <c r="P137" t="inlineStr">
        <is>
          <t>2026-08-24</t>
        </is>
      </c>
      <c r="Q137" t="inlineStr">
        <is>
          <t>2027-03-13</t>
        </is>
      </c>
      <c r="R137" t="n">
        <v>17</v>
      </c>
      <c r="S137" t="inlineStr">
        <is>
          <t>Send samples</t>
        </is>
      </c>
      <c r="T137" t="inlineStr">
        <is>
          <t>Distributor</t>
        </is>
      </c>
      <c r="U137" t="inlineStr"/>
      <c r="V137">
        <f>IF(S137="",1,0)</f>
        <v/>
      </c>
      <c r="W137">
        <f>IF(J137="",1,0)</f>
        <v/>
      </c>
      <c r="X137">
        <f>IF(F137="",1,0)</f>
        <v/>
      </c>
      <c r="Y137">
        <f>IF(AND(AND(H137&lt;&gt;"Mass production",H137&lt;&gt;"Lost"),DATEVALUE(Q137)&lt;DATE(2026,10,20)),1,0)</f>
        <v/>
      </c>
      <c r="Z137">
        <f>IF(AND(AND(H137&lt;&gt;"Mass production",H137&lt;&gt;"Lost"),R137&gt;30),1,0)</f>
        <v/>
      </c>
      <c r="AA137">
        <f>IF(COUNTIFS($G$2:$G$247,G137,$F$2:$F$247,F137,$J$2:$J$247,J137,$K$2:$K$247,K137)&gt;1,1,0)</f>
        <v/>
      </c>
      <c r="AB137">
        <f>SUM(V137:AA137)</f>
        <v/>
      </c>
    </row>
    <row r="138">
      <c r="A138" t="inlineStr">
        <is>
          <t>OPP-26136</t>
        </is>
      </c>
      <c r="B138" t="inlineStr">
        <is>
          <t>Kestrel Telematics</t>
        </is>
      </c>
      <c r="C138" t="inlineStr">
        <is>
          <t>CEE</t>
        </is>
      </c>
      <c r="D138" t="inlineStr">
        <is>
          <t>Romania</t>
        </is>
      </c>
      <c r="E138" t="inlineStr">
        <is>
          <t>K. Nowak</t>
        </is>
      </c>
      <c r="F138" t="inlineStr">
        <is>
          <t>Telematics</t>
        </is>
      </c>
      <c r="G138" t="inlineStr">
        <is>
          <t>Wi-Fi / Bluetooth</t>
        </is>
      </c>
      <c r="H138" t="inlineStr">
        <is>
          <t>Sample / Evaluation</t>
        </is>
      </c>
      <c r="I138" t="n">
        <v>0.2</v>
      </c>
      <c r="J138" t="n">
        <v>20000</v>
      </c>
      <c r="K138" t="n">
        <v>3.66</v>
      </c>
      <c r="L138" t="n">
        <v>2</v>
      </c>
      <c r="M138" t="n">
        <v>73200</v>
      </c>
      <c r="N138" t="n">
        <v>146400</v>
      </c>
      <c r="O138" t="n">
        <v>29280</v>
      </c>
      <c r="P138" t="inlineStr">
        <is>
          <t>2026-09-20</t>
        </is>
      </c>
      <c r="Q138" t="inlineStr">
        <is>
          <t>2026-10-30</t>
        </is>
      </c>
      <c r="R138" t="n">
        <v>22</v>
      </c>
      <c r="S138" t="inlineStr">
        <is>
          <t>Forecast confirmation</t>
        </is>
      </c>
      <c r="T138" t="inlineStr">
        <is>
          <t>Distributor</t>
        </is>
      </c>
      <c r="U138" t="inlineStr"/>
      <c r="V138">
        <f>IF(S138="",1,0)</f>
        <v/>
      </c>
      <c r="W138">
        <f>IF(J138="",1,0)</f>
        <v/>
      </c>
      <c r="X138">
        <f>IF(F138="",1,0)</f>
        <v/>
      </c>
      <c r="Y138">
        <f>IF(AND(AND(H138&lt;&gt;"Mass production",H138&lt;&gt;"Lost"),DATEVALUE(Q138)&lt;DATE(2026,10,20)),1,0)</f>
        <v/>
      </c>
      <c r="Z138">
        <f>IF(AND(AND(H138&lt;&gt;"Mass production",H138&lt;&gt;"Lost"),R138&gt;30),1,0)</f>
        <v/>
      </c>
      <c r="AA138">
        <f>IF(COUNTIFS($G$2:$G$247,G138,$F$2:$F$247,F138,$J$2:$J$247,J138,$K$2:$K$247,K138)&gt;1,1,0)</f>
        <v/>
      </c>
      <c r="AB138">
        <f>SUM(V138:AA138)</f>
        <v/>
      </c>
    </row>
    <row r="139">
      <c r="A139" t="inlineStr">
        <is>
          <t>OPP-26137</t>
        </is>
      </c>
      <c r="B139" t="inlineStr">
        <is>
          <t>Zenit Tracking</t>
        </is>
      </c>
      <c r="C139" t="inlineStr">
        <is>
          <t>UK &amp; Ireland</t>
        </is>
      </c>
      <c r="D139" t="inlineStr">
        <is>
          <t>Ireland</t>
        </is>
      </c>
      <c r="E139" t="inlineStr">
        <is>
          <t>S. Clarke</t>
        </is>
      </c>
      <c r="F139" t="inlineStr">
        <is>
          <t>Healthcare</t>
        </is>
      </c>
      <c r="G139" t="inlineStr">
        <is>
          <t>5G eMBB</t>
        </is>
      </c>
      <c r="H139" t="inlineStr">
        <is>
          <t>Pilot</t>
        </is>
      </c>
      <c r="I139" t="n">
        <v>0.85</v>
      </c>
      <c r="J139" t="n">
        <v>2000</v>
      </c>
      <c r="K139" t="n">
        <v>103.97</v>
      </c>
      <c r="L139" t="n">
        <v>4</v>
      </c>
      <c r="M139" t="n">
        <v>207940</v>
      </c>
      <c r="N139" t="n">
        <v>831760</v>
      </c>
      <c r="O139" t="n">
        <v>706996</v>
      </c>
      <c r="P139" t="inlineStr">
        <is>
          <t>2026-06-15</t>
        </is>
      </c>
      <c r="Q139" t="inlineStr">
        <is>
          <t>2027-02-08</t>
        </is>
      </c>
      <c r="R139" t="n">
        <v>45</v>
      </c>
      <c r="S139" t="inlineStr">
        <is>
          <t>Pilot build follow-up</t>
        </is>
      </c>
      <c r="T139" t="inlineStr">
        <is>
          <t>Direct</t>
        </is>
      </c>
      <c r="U139" t="inlineStr"/>
      <c r="V139">
        <f>IF(S139="",1,0)</f>
        <v/>
      </c>
      <c r="W139">
        <f>IF(J139="",1,0)</f>
        <v/>
      </c>
      <c r="X139">
        <f>IF(F139="",1,0)</f>
        <v/>
      </c>
      <c r="Y139">
        <f>IF(AND(AND(H139&lt;&gt;"Mass production",H139&lt;&gt;"Lost"),DATEVALUE(Q139)&lt;DATE(2026,10,20)),1,0)</f>
        <v/>
      </c>
      <c r="Z139">
        <f>IF(AND(AND(H139&lt;&gt;"Mass production",H139&lt;&gt;"Lost"),R139&gt;30),1,0)</f>
        <v/>
      </c>
      <c r="AA139">
        <f>IF(COUNTIFS($G$2:$G$247,G139,$F$2:$F$247,F139,$J$2:$J$247,J139,$K$2:$K$247,K139)&gt;1,1,0)</f>
        <v/>
      </c>
      <c r="AB139">
        <f>SUM(V139:AA139)</f>
        <v/>
      </c>
    </row>
    <row r="140">
      <c r="A140" t="inlineStr">
        <is>
          <t>OPP-26138</t>
        </is>
      </c>
      <c r="B140" t="inlineStr">
        <is>
          <t>Baltix Energy</t>
        </is>
      </c>
      <c r="C140" t="inlineStr">
        <is>
          <t>France &amp; Benelux</t>
        </is>
      </c>
      <c r="D140" t="inlineStr">
        <is>
          <t>Belgium</t>
        </is>
      </c>
      <c r="E140" t="inlineStr">
        <is>
          <t>C. Martin</t>
        </is>
      </c>
      <c r="F140" t="inlineStr">
        <is>
          <t>Asset tracking</t>
        </is>
      </c>
      <c r="G140" t="inlineStr">
        <is>
          <t>LTE-M / NB-IoT</t>
        </is>
      </c>
      <c r="H140" t="inlineStr">
        <is>
          <t>Design-in</t>
        </is>
      </c>
      <c r="I140" t="n">
        <v>0.4</v>
      </c>
      <c r="J140" t="n">
        <v>30000</v>
      </c>
      <c r="K140" t="n">
        <v>5.79</v>
      </c>
      <c r="L140" t="n">
        <v>3</v>
      </c>
      <c r="M140" t="n">
        <v>173700</v>
      </c>
      <c r="N140" t="n">
        <v>521100</v>
      </c>
      <c r="O140" t="n">
        <v>208440</v>
      </c>
      <c r="P140" t="inlineStr">
        <is>
          <t>2026-07-24</t>
        </is>
      </c>
      <c r="Q140" t="inlineStr">
        <is>
          <t>2027-02-10</t>
        </is>
      </c>
      <c r="R140" t="n">
        <v>33</v>
      </c>
      <c r="S140" t="inlineStr">
        <is>
          <t>Certification plan</t>
        </is>
      </c>
      <c r="T140" t="inlineStr">
        <is>
          <t>Distributor</t>
        </is>
      </c>
      <c r="U140" t="inlineStr"/>
      <c r="V140">
        <f>IF(S140="",1,0)</f>
        <v/>
      </c>
      <c r="W140">
        <f>IF(J140="",1,0)</f>
        <v/>
      </c>
      <c r="X140">
        <f>IF(F140="",1,0)</f>
        <v/>
      </c>
      <c r="Y140">
        <f>IF(AND(AND(H140&lt;&gt;"Mass production",H140&lt;&gt;"Lost"),DATEVALUE(Q140)&lt;DATE(2026,10,20)),1,0)</f>
        <v/>
      </c>
      <c r="Z140">
        <f>IF(AND(AND(H140&lt;&gt;"Mass production",H140&lt;&gt;"Lost"),R140&gt;30),1,0)</f>
        <v/>
      </c>
      <c r="AA140">
        <f>IF(COUNTIFS($G$2:$G$247,G140,$F$2:$F$247,F140,$J$2:$J$247,J140,$K$2:$K$247,K140)&gt;1,1,0)</f>
        <v/>
      </c>
      <c r="AB140">
        <f>SUM(V140:AA140)</f>
        <v/>
      </c>
    </row>
    <row r="141">
      <c r="A141" t="inlineStr">
        <is>
          <t>OPP-26139</t>
        </is>
      </c>
      <c r="B141" t="inlineStr">
        <is>
          <t>Bluecell Telematics</t>
        </is>
      </c>
      <c r="C141" t="inlineStr">
        <is>
          <t>Nordics</t>
        </is>
      </c>
      <c r="D141" t="inlineStr">
        <is>
          <t>Sweden</t>
        </is>
      </c>
      <c r="E141" t="inlineStr">
        <is>
          <t>E. Lindqvist</t>
        </is>
      </c>
      <c r="F141" t="inlineStr">
        <is>
          <t>Telematics</t>
        </is>
      </c>
      <c r="G141" t="inlineStr">
        <is>
          <t>LTE-M / NB-IoT</t>
        </is>
      </c>
      <c r="H141" t="inlineStr">
        <is>
          <t>Design-in</t>
        </is>
      </c>
      <c r="I141" t="n">
        <v>0.4</v>
      </c>
      <c r="J141" t="n">
        <v>20000</v>
      </c>
      <c r="K141" t="n">
        <v>6.2</v>
      </c>
      <c r="L141" t="n">
        <v>3</v>
      </c>
      <c r="M141" t="n">
        <v>124000</v>
      </c>
      <c r="N141" t="n">
        <v>372000</v>
      </c>
      <c r="O141" t="n">
        <v>148800</v>
      </c>
      <c r="P141" t="inlineStr">
        <is>
          <t>2026-03-24</t>
        </is>
      </c>
      <c r="Q141" t="inlineStr">
        <is>
          <t>2027-08-03</t>
        </is>
      </c>
      <c r="R141" t="n">
        <v>10</v>
      </c>
      <c r="S141" t="inlineStr">
        <is>
          <t>Design review</t>
        </is>
      </c>
      <c r="T141" t="inlineStr">
        <is>
          <t>Distributor</t>
        </is>
      </c>
      <c r="U141" t="inlineStr"/>
      <c r="V141">
        <f>IF(S141="",1,0)</f>
        <v/>
      </c>
      <c r="W141">
        <f>IF(J141="",1,0)</f>
        <v/>
      </c>
      <c r="X141">
        <f>IF(F141="",1,0)</f>
        <v/>
      </c>
      <c r="Y141">
        <f>IF(AND(AND(H141&lt;&gt;"Mass production",H141&lt;&gt;"Lost"),DATEVALUE(Q141)&lt;DATE(2026,10,20)),1,0)</f>
        <v/>
      </c>
      <c r="Z141">
        <f>IF(AND(AND(H141&lt;&gt;"Mass production",H141&lt;&gt;"Lost"),R141&gt;30),1,0)</f>
        <v/>
      </c>
      <c r="AA141">
        <f>IF(COUNTIFS($G$2:$G$247,G141,$F$2:$F$247,F141,$J$2:$J$247,J141,$K$2:$K$247,K141)&gt;1,1,0)</f>
        <v/>
      </c>
      <c r="AB141">
        <f>SUM(V141:AA141)</f>
        <v/>
      </c>
    </row>
    <row r="142">
      <c r="A142" t="inlineStr">
        <is>
          <t>OPP-26140</t>
        </is>
      </c>
      <c r="B142" t="inlineStr">
        <is>
          <t>Solent Health</t>
        </is>
      </c>
      <c r="C142" t="inlineStr">
        <is>
          <t>UK &amp; Ireland</t>
        </is>
      </c>
      <c r="D142" t="inlineStr">
        <is>
          <t>Ireland</t>
        </is>
      </c>
      <c r="E142" t="inlineStr">
        <is>
          <t>S. Clarke</t>
        </is>
      </c>
      <c r="F142" t="inlineStr">
        <is>
          <t>POS &amp; payments</t>
        </is>
      </c>
      <c r="G142" t="inlineStr">
        <is>
          <t>Smart module</t>
        </is>
      </c>
      <c r="H142" t="inlineStr">
        <is>
          <t>Sample / Evaluation</t>
        </is>
      </c>
      <c r="I142" t="n">
        <v>0.2</v>
      </c>
      <c r="J142" t="n">
        <v>3000</v>
      </c>
      <c r="K142" t="n">
        <v>85.44</v>
      </c>
      <c r="L142" t="n">
        <v>5</v>
      </c>
      <c r="M142" t="n">
        <v>256320</v>
      </c>
      <c r="N142" t="n">
        <v>1281600</v>
      </c>
      <c r="O142" t="n">
        <v>256320</v>
      </c>
      <c r="P142" t="inlineStr">
        <is>
          <t>2026-06-18</t>
        </is>
      </c>
      <c r="Q142" t="inlineStr">
        <is>
          <t>2027-06-11</t>
        </is>
      </c>
      <c r="R142" t="n">
        <v>2</v>
      </c>
      <c r="S142" t="inlineStr">
        <is>
          <t>Price negotiation</t>
        </is>
      </c>
      <c r="T142" t="inlineStr">
        <is>
          <t>Distributor</t>
        </is>
      </c>
      <c r="U142" t="inlineStr"/>
      <c r="V142">
        <f>IF(S142="",1,0)</f>
        <v/>
      </c>
      <c r="W142">
        <f>IF(J142="",1,0)</f>
        <v/>
      </c>
      <c r="X142">
        <f>IF(F142="",1,0)</f>
        <v/>
      </c>
      <c r="Y142">
        <f>IF(AND(AND(H142&lt;&gt;"Mass production",H142&lt;&gt;"Lost"),DATEVALUE(Q142)&lt;DATE(2026,10,20)),1,0)</f>
        <v/>
      </c>
      <c r="Z142">
        <f>IF(AND(AND(H142&lt;&gt;"Mass production",H142&lt;&gt;"Lost"),R142&gt;30),1,0)</f>
        <v/>
      </c>
      <c r="AA142">
        <f>IF(COUNTIFS($G$2:$G$247,G142,$F$2:$F$247,F142,$J$2:$J$247,J142,$K$2:$K$247,K142)&gt;1,1,0)</f>
        <v/>
      </c>
      <c r="AB142">
        <f>SUM(V142:AA142)</f>
        <v/>
      </c>
    </row>
    <row r="143">
      <c r="A143" t="inlineStr">
        <is>
          <t>OPP-26141</t>
        </is>
      </c>
      <c r="B143" t="inlineStr">
        <is>
          <t>Rhenus Telematics</t>
        </is>
      </c>
      <c r="C143" t="inlineStr">
        <is>
          <t>DACH</t>
        </is>
      </c>
      <c r="D143" t="inlineStr">
        <is>
          <t>Switzerland</t>
        </is>
      </c>
      <c r="E143" t="inlineStr">
        <is>
          <t>J. Weber</t>
        </is>
      </c>
      <c r="F143" t="inlineStr">
        <is>
          <t>Healthcare</t>
        </is>
      </c>
      <c r="G143" t="inlineStr">
        <is>
          <t>LTE-M / NB-IoT</t>
        </is>
      </c>
      <c r="H143" t="inlineStr">
        <is>
          <t>Sample / Evaluation</t>
        </is>
      </c>
      <c r="I143" t="n">
        <v>0.2</v>
      </c>
      <c r="J143" t="inlineStr"/>
      <c r="K143" t="n">
        <v>7.26</v>
      </c>
      <c r="L143" t="n">
        <v>3</v>
      </c>
      <c r="M143" t="n">
        <v>0</v>
      </c>
      <c r="N143" t="n">
        <v>0</v>
      </c>
      <c r="O143" t="n">
        <v>0</v>
      </c>
      <c r="P143" t="inlineStr">
        <is>
          <t>2025-06-19</t>
        </is>
      </c>
      <c r="Q143" t="inlineStr">
        <is>
          <t>2027-07-23</t>
        </is>
      </c>
      <c r="R143" t="n">
        <v>2</v>
      </c>
      <c r="S143" t="inlineStr">
        <is>
          <t>Technical review call</t>
        </is>
      </c>
      <c r="T143" t="inlineStr">
        <is>
          <t>Direct</t>
        </is>
      </c>
      <c r="U143" t="inlineStr"/>
      <c r="V143">
        <f>IF(S143="",1,0)</f>
        <v/>
      </c>
      <c r="W143">
        <f>IF(J143="",1,0)</f>
        <v/>
      </c>
      <c r="X143">
        <f>IF(F143="",1,0)</f>
        <v/>
      </c>
      <c r="Y143">
        <f>IF(AND(AND(H143&lt;&gt;"Mass production",H143&lt;&gt;"Lost"),DATEVALUE(Q143)&lt;DATE(2026,10,20)),1,0)</f>
        <v/>
      </c>
      <c r="Z143">
        <f>IF(AND(AND(H143&lt;&gt;"Mass production",H143&lt;&gt;"Lost"),R143&gt;30),1,0)</f>
        <v/>
      </c>
      <c r="AA143">
        <f>IF(COUNTIFS($G$2:$G$247,G143,$F$2:$F$247,F143,$J$2:$J$247,J143,$K$2:$K$247,K143)&gt;1,1,0)</f>
        <v/>
      </c>
      <c r="AB143">
        <f>SUM(V143:AA143)</f>
        <v/>
      </c>
    </row>
    <row r="144">
      <c r="A144" t="inlineStr">
        <is>
          <t>OPP-26142</t>
        </is>
      </c>
      <c r="B144" t="inlineStr">
        <is>
          <t>Morava Mobility</t>
        </is>
      </c>
      <c r="C144" t="inlineStr">
        <is>
          <t>UK &amp; Ireland</t>
        </is>
      </c>
      <c r="D144" t="inlineStr">
        <is>
          <t>Ireland</t>
        </is>
      </c>
      <c r="E144" t="inlineStr">
        <is>
          <t>S. Clarke</t>
        </is>
      </c>
      <c r="F144" t="inlineStr"/>
      <c r="G144" t="inlineStr">
        <is>
          <t>GNSS</t>
        </is>
      </c>
      <c r="H144" t="inlineStr">
        <is>
          <t>Pilot</t>
        </is>
      </c>
      <c r="I144" t="n">
        <v>0.85</v>
      </c>
      <c r="J144" t="n">
        <v>80000</v>
      </c>
      <c r="K144" t="n">
        <v>5.64</v>
      </c>
      <c r="L144" t="n">
        <v>3</v>
      </c>
      <c r="M144" t="n">
        <v>451200</v>
      </c>
      <c r="N144" t="n">
        <v>1353600</v>
      </c>
      <c r="O144" t="n">
        <v>1150560</v>
      </c>
      <c r="P144" t="inlineStr">
        <is>
          <t>2025-02-19</t>
        </is>
      </c>
      <c r="Q144" t="inlineStr">
        <is>
          <t>2027-03-25</t>
        </is>
      </c>
      <c r="R144" t="n">
        <v>20</v>
      </c>
      <c r="S144" t="inlineStr">
        <is>
          <t>Price negotiation</t>
        </is>
      </c>
      <c r="T144" t="inlineStr">
        <is>
          <t>Direct</t>
        </is>
      </c>
      <c r="U144" t="inlineStr"/>
      <c r="V144">
        <f>IF(S144="",1,0)</f>
        <v/>
      </c>
      <c r="W144">
        <f>IF(J144="",1,0)</f>
        <v/>
      </c>
      <c r="X144">
        <f>IF(F144="",1,0)</f>
        <v/>
      </c>
      <c r="Y144">
        <f>IF(AND(AND(H144&lt;&gt;"Mass production",H144&lt;&gt;"Lost"),DATEVALUE(Q144)&lt;DATE(2026,10,20)),1,0)</f>
        <v/>
      </c>
      <c r="Z144">
        <f>IF(AND(AND(H144&lt;&gt;"Mass production",H144&lt;&gt;"Lost"),R144&gt;30),1,0)</f>
        <v/>
      </c>
      <c r="AA144">
        <f>IF(COUNTIFS($G$2:$G$247,G144,$F$2:$F$247,F144,$J$2:$J$247,J144,$K$2:$K$247,K144)&gt;1,1,0)</f>
        <v/>
      </c>
      <c r="AB144">
        <f>SUM(V144:AA144)</f>
        <v/>
      </c>
    </row>
    <row r="145">
      <c r="A145" t="inlineStr">
        <is>
          <t>OPP-26143</t>
        </is>
      </c>
      <c r="B145" t="inlineStr">
        <is>
          <t>Alpenlink Labs</t>
        </is>
      </c>
      <c r="C145" t="inlineStr">
        <is>
          <t>Nordics</t>
        </is>
      </c>
      <c r="D145" t="inlineStr">
        <is>
          <t>Sweden</t>
        </is>
      </c>
      <c r="E145" t="inlineStr">
        <is>
          <t>E. Lindqvist</t>
        </is>
      </c>
      <c r="F145" t="inlineStr">
        <is>
          <t>Smart home &amp; security</t>
        </is>
      </c>
      <c r="G145" t="inlineStr">
        <is>
          <t>Wi-Fi / Bluetooth</t>
        </is>
      </c>
      <c r="H145" t="inlineStr">
        <is>
          <t>Design-win</t>
        </is>
      </c>
      <c r="I145" t="n">
        <v>0.7</v>
      </c>
      <c r="J145" t="n">
        <v>2000</v>
      </c>
      <c r="K145" t="n">
        <v>3.76</v>
      </c>
      <c r="L145" t="n">
        <v>4</v>
      </c>
      <c r="M145" t="n">
        <v>7520</v>
      </c>
      <c r="N145" t="n">
        <v>30080</v>
      </c>
      <c r="O145" t="n">
        <v>21056</v>
      </c>
      <c r="P145" t="inlineStr">
        <is>
          <t>2026-05-14</t>
        </is>
      </c>
      <c r="Q145" t="inlineStr">
        <is>
          <t>2026-12-18</t>
        </is>
      </c>
      <c r="R145" t="n">
        <v>13</v>
      </c>
      <c r="S145" t="inlineStr">
        <is>
          <t>Price negotiation</t>
        </is>
      </c>
      <c r="T145" t="inlineStr">
        <is>
          <t>Distributor</t>
        </is>
      </c>
      <c r="U145" t="inlineStr"/>
      <c r="V145">
        <f>IF(S145="",1,0)</f>
        <v/>
      </c>
      <c r="W145">
        <f>IF(J145="",1,0)</f>
        <v/>
      </c>
      <c r="X145">
        <f>IF(F145="",1,0)</f>
        <v/>
      </c>
      <c r="Y145">
        <f>IF(AND(AND(H145&lt;&gt;"Mass production",H145&lt;&gt;"Lost"),DATEVALUE(Q145)&lt;DATE(2026,10,20)),1,0)</f>
        <v/>
      </c>
      <c r="Z145">
        <f>IF(AND(AND(H145&lt;&gt;"Mass production",H145&lt;&gt;"Lost"),R145&gt;30),1,0)</f>
        <v/>
      </c>
      <c r="AA145">
        <f>IF(COUNTIFS($G$2:$G$247,G145,$F$2:$F$247,F145,$J$2:$J$247,J145,$K$2:$K$247,K145)&gt;1,1,0)</f>
        <v/>
      </c>
      <c r="AB145">
        <f>SUM(V145:AA145)</f>
        <v/>
      </c>
    </row>
    <row r="146">
      <c r="A146" t="inlineStr">
        <is>
          <t>OPP-26144</t>
        </is>
      </c>
      <c r="B146" t="inlineStr">
        <is>
          <t>Danubia Devices</t>
        </is>
      </c>
      <c r="C146" t="inlineStr">
        <is>
          <t>CEE</t>
        </is>
      </c>
      <c r="D146" t="inlineStr">
        <is>
          <t>Poland</t>
        </is>
      </c>
      <c r="E146" t="inlineStr">
        <is>
          <t>D. Jovanovic</t>
        </is>
      </c>
      <c r="F146" t="inlineStr">
        <is>
          <t>Automotive &amp; C-V2X</t>
        </is>
      </c>
      <c r="G146" t="inlineStr">
        <is>
          <t>GNSS</t>
        </is>
      </c>
      <c r="H146" t="inlineStr">
        <is>
          <t>Qualified</t>
        </is>
      </c>
      <c r="I146" t="n">
        <v>0.1</v>
      </c>
      <c r="J146" t="n">
        <v>8000</v>
      </c>
      <c r="K146" t="n">
        <v>3.67</v>
      </c>
      <c r="L146" t="n">
        <v>3</v>
      </c>
      <c r="M146" t="n">
        <v>29360</v>
      </c>
      <c r="N146" t="n">
        <v>88080</v>
      </c>
      <c r="O146" t="n">
        <v>8808</v>
      </c>
      <c r="P146" t="inlineStr">
        <is>
          <t>2026-08-28</t>
        </is>
      </c>
      <c r="Q146" t="inlineStr">
        <is>
          <t>2027-01-28</t>
        </is>
      </c>
      <c r="R146" t="n">
        <v>24</v>
      </c>
      <c r="S146" t="inlineStr">
        <is>
          <t>Technical review call</t>
        </is>
      </c>
      <c r="T146" t="inlineStr">
        <is>
          <t>Direct</t>
        </is>
      </c>
      <c r="U146" t="inlineStr"/>
      <c r="V146">
        <f>IF(S146="",1,0)</f>
        <v/>
      </c>
      <c r="W146">
        <f>IF(J146="",1,0)</f>
        <v/>
      </c>
      <c r="X146">
        <f>IF(F146="",1,0)</f>
        <v/>
      </c>
      <c r="Y146">
        <f>IF(AND(AND(H146&lt;&gt;"Mass production",H146&lt;&gt;"Lost"),DATEVALUE(Q146)&lt;DATE(2026,10,20)),1,0)</f>
        <v/>
      </c>
      <c r="Z146">
        <f>IF(AND(AND(H146&lt;&gt;"Mass production",H146&lt;&gt;"Lost"),R146&gt;30),1,0)</f>
        <v/>
      </c>
      <c r="AA146">
        <f>IF(COUNTIFS($G$2:$G$247,G146,$F$2:$F$247,F146,$J$2:$J$247,J146,$K$2:$K$247,K146)&gt;1,1,0)</f>
        <v/>
      </c>
      <c r="AB146">
        <f>SUM(V146:AA146)</f>
        <v/>
      </c>
    </row>
    <row r="147">
      <c r="A147" t="inlineStr">
        <is>
          <t>OPP-26145</t>
        </is>
      </c>
      <c r="B147" t="inlineStr">
        <is>
          <t>Helix Health</t>
        </is>
      </c>
      <c r="C147" t="inlineStr">
        <is>
          <t>Nordics</t>
        </is>
      </c>
      <c r="D147" t="inlineStr">
        <is>
          <t>Finland</t>
        </is>
      </c>
      <c r="E147" t="inlineStr">
        <is>
          <t>E. Lindqvist</t>
        </is>
      </c>
      <c r="F147" t="inlineStr">
        <is>
          <t>Telematics</t>
        </is>
      </c>
      <c r="G147" t="inlineStr">
        <is>
          <t>Wi-Fi / Bluetooth</t>
        </is>
      </c>
      <c r="H147" t="inlineStr">
        <is>
          <t>Design-in</t>
        </is>
      </c>
      <c r="I147" t="n">
        <v>0.4</v>
      </c>
      <c r="J147" t="n">
        <v>30000</v>
      </c>
      <c r="K147" t="n">
        <v>2.65</v>
      </c>
      <c r="L147" t="n">
        <v>5</v>
      </c>
      <c r="M147" t="n">
        <v>79500</v>
      </c>
      <c r="N147" t="n">
        <v>397500</v>
      </c>
      <c r="O147" t="n">
        <v>159000</v>
      </c>
      <c r="P147" t="inlineStr">
        <is>
          <t>2026-02-19</t>
        </is>
      </c>
      <c r="Q147" t="inlineStr">
        <is>
          <t>2027-04-15</t>
        </is>
      </c>
      <c r="R147" t="n">
        <v>69</v>
      </c>
      <c r="S147" t="inlineStr">
        <is>
          <t>Pilot build follow-up</t>
        </is>
      </c>
      <c r="T147" t="inlineStr">
        <is>
          <t>Direct</t>
        </is>
      </c>
      <c r="U147" t="inlineStr"/>
      <c r="V147">
        <f>IF(S147="",1,0)</f>
        <v/>
      </c>
      <c r="W147">
        <f>IF(J147="",1,0)</f>
        <v/>
      </c>
      <c r="X147">
        <f>IF(F147="",1,0)</f>
        <v/>
      </c>
      <c r="Y147">
        <f>IF(AND(AND(H147&lt;&gt;"Mass production",H147&lt;&gt;"Lost"),DATEVALUE(Q147)&lt;DATE(2026,10,20)),1,0)</f>
        <v/>
      </c>
      <c r="Z147">
        <f>IF(AND(AND(H147&lt;&gt;"Mass production",H147&lt;&gt;"Lost"),R147&gt;30),1,0)</f>
        <v/>
      </c>
      <c r="AA147">
        <f>IF(COUNTIFS($G$2:$G$247,G147,$F$2:$F$247,F147,$J$2:$J$247,J147,$K$2:$K$247,K147)&gt;1,1,0)</f>
        <v/>
      </c>
      <c r="AB147">
        <f>SUM(V147:AA147)</f>
        <v/>
      </c>
    </row>
    <row r="148">
      <c r="A148" t="inlineStr">
        <is>
          <t>OPP-26146</t>
        </is>
      </c>
      <c r="B148" t="inlineStr">
        <is>
          <t>Pannon Energy</t>
        </is>
      </c>
      <c r="C148" t="inlineStr">
        <is>
          <t>DACH</t>
        </is>
      </c>
      <c r="D148" t="inlineStr">
        <is>
          <t>Switzerland</t>
        </is>
      </c>
      <c r="E148" t="inlineStr">
        <is>
          <t>J. Weber</t>
        </is>
      </c>
      <c r="F148" t="inlineStr">
        <is>
          <t>Industrial IoT</t>
        </is>
      </c>
      <c r="G148" t="inlineStr">
        <is>
          <t>5G RedCap</t>
        </is>
      </c>
      <c r="H148" t="inlineStr">
        <is>
          <t>Mass production</t>
        </is>
      </c>
      <c r="I148" t="n">
        <v>1</v>
      </c>
      <c r="J148" t="n">
        <v>8000</v>
      </c>
      <c r="K148" t="n">
        <v>56.62</v>
      </c>
      <c r="L148" t="n">
        <v>3</v>
      </c>
      <c r="M148" t="n">
        <v>452960</v>
      </c>
      <c r="N148" t="n">
        <v>1358880</v>
      </c>
      <c r="O148" t="n">
        <v>1358880</v>
      </c>
      <c r="P148" t="inlineStr">
        <is>
          <t>2025-02-05</t>
        </is>
      </c>
      <c r="Q148" t="inlineStr">
        <is>
          <t>2025-12-01</t>
        </is>
      </c>
      <c r="R148" t="n">
        <v>28</v>
      </c>
      <c r="S148" t="inlineStr">
        <is>
          <t>Send samples</t>
        </is>
      </c>
      <c r="T148" t="inlineStr">
        <is>
          <t>Distributor</t>
        </is>
      </c>
      <c r="U148" t="inlineStr"/>
      <c r="V148">
        <f>IF(S148="",1,0)</f>
        <v/>
      </c>
      <c r="W148">
        <f>IF(J148="",1,0)</f>
        <v/>
      </c>
      <c r="X148">
        <f>IF(F148="",1,0)</f>
        <v/>
      </c>
      <c r="Y148">
        <f>IF(AND(AND(H148&lt;&gt;"Mass production",H148&lt;&gt;"Lost"),DATEVALUE(Q148)&lt;DATE(2026,10,20)),1,0)</f>
        <v/>
      </c>
      <c r="Z148">
        <f>IF(AND(AND(H148&lt;&gt;"Mass production",H148&lt;&gt;"Lost"),R148&gt;30),1,0)</f>
        <v/>
      </c>
      <c r="AA148">
        <f>IF(COUNTIFS($G$2:$G$247,G148,$F$2:$F$247,F148,$J$2:$J$247,J148,$K$2:$K$247,K148)&gt;1,1,0)</f>
        <v/>
      </c>
      <c r="AB148">
        <f>SUM(V148:AA148)</f>
        <v/>
      </c>
    </row>
    <row r="149">
      <c r="A149" t="inlineStr">
        <is>
          <t>OPP-26147</t>
        </is>
      </c>
      <c r="B149" t="inlineStr">
        <is>
          <t>Rhenus Telematics</t>
        </is>
      </c>
      <c r="C149" t="inlineStr">
        <is>
          <t>DACH</t>
        </is>
      </c>
      <c r="D149" t="inlineStr">
        <is>
          <t>Switzerland</t>
        </is>
      </c>
      <c r="E149" t="inlineStr">
        <is>
          <t>L. Hoffmann</t>
        </is>
      </c>
      <c r="F149" t="inlineStr">
        <is>
          <t>Smart metering</t>
        </is>
      </c>
      <c r="G149" t="inlineStr">
        <is>
          <t>LTE Cat 1 bis</t>
        </is>
      </c>
      <c r="H149" t="inlineStr">
        <is>
          <t>Design-in</t>
        </is>
      </c>
      <c r="I149" t="n">
        <v>0.4</v>
      </c>
      <c r="J149" t="n">
        <v>10000</v>
      </c>
      <c r="K149" t="n">
        <v>10.93</v>
      </c>
      <c r="L149" t="n">
        <v>3</v>
      </c>
      <c r="M149" t="n">
        <v>109300</v>
      </c>
      <c r="N149" t="n">
        <v>327900</v>
      </c>
      <c r="O149" t="n">
        <v>131160</v>
      </c>
      <c r="P149" t="inlineStr">
        <is>
          <t>2025-02-21</t>
        </is>
      </c>
      <c r="Q149" t="inlineStr">
        <is>
          <t>2026-09-24</t>
        </is>
      </c>
      <c r="R149" t="n">
        <v>48</v>
      </c>
      <c r="S149" t="inlineStr">
        <is>
          <t>Pilot build follow-up</t>
        </is>
      </c>
      <c r="T149" t="inlineStr">
        <is>
          <t>Website</t>
        </is>
      </c>
      <c r="U149" t="inlineStr"/>
      <c r="V149">
        <f>IF(S149="",1,0)</f>
        <v/>
      </c>
      <c r="W149">
        <f>IF(J149="",1,0)</f>
        <v/>
      </c>
      <c r="X149">
        <f>IF(F149="",1,0)</f>
        <v/>
      </c>
      <c r="Y149">
        <f>IF(AND(AND(H149&lt;&gt;"Mass production",H149&lt;&gt;"Lost"),DATEVALUE(Q149)&lt;DATE(2026,10,20)),1,0)</f>
        <v/>
      </c>
      <c r="Z149">
        <f>IF(AND(AND(H149&lt;&gt;"Mass production",H149&lt;&gt;"Lost"),R149&gt;30),1,0)</f>
        <v/>
      </c>
      <c r="AA149">
        <f>IF(COUNTIFS($G$2:$G$247,G149,$F$2:$F$247,F149,$J$2:$J$247,J149,$K$2:$K$247,K149)&gt;1,1,0)</f>
        <v/>
      </c>
      <c r="AB149">
        <f>SUM(V149:AA149)</f>
        <v/>
      </c>
    </row>
    <row r="150">
      <c r="A150" t="inlineStr">
        <is>
          <t>OPP-26148</t>
        </is>
      </c>
      <c r="B150" t="inlineStr">
        <is>
          <t>Atlas Industrial</t>
        </is>
      </c>
      <c r="C150" t="inlineStr">
        <is>
          <t>France &amp; Benelux</t>
        </is>
      </c>
      <c r="D150" t="inlineStr">
        <is>
          <t>Belgium</t>
        </is>
      </c>
      <c r="E150" t="inlineStr">
        <is>
          <t>B. de Vries</t>
        </is>
      </c>
      <c r="F150" t="inlineStr">
        <is>
          <t>Automotive &amp; C-V2X</t>
        </is>
      </c>
      <c r="G150" t="inlineStr">
        <is>
          <t>LTE Cat 1 bis</t>
        </is>
      </c>
      <c r="H150" t="inlineStr">
        <is>
          <t>Qualified</t>
        </is>
      </c>
      <c r="I150" t="n">
        <v>0.1</v>
      </c>
      <c r="J150" t="n">
        <v>20000</v>
      </c>
      <c r="K150" t="n">
        <v>10.4</v>
      </c>
      <c r="L150" t="n">
        <v>4</v>
      </c>
      <c r="M150" t="n">
        <v>208000</v>
      </c>
      <c r="N150" t="n">
        <v>832000</v>
      </c>
      <c r="O150" t="n">
        <v>83200</v>
      </c>
      <c r="P150" t="inlineStr">
        <is>
          <t>2026-05-08</t>
        </is>
      </c>
      <c r="Q150" t="inlineStr">
        <is>
          <t>2027-07-02</t>
        </is>
      </c>
      <c r="R150" t="n">
        <v>10</v>
      </c>
      <c r="S150" t="inlineStr">
        <is>
          <t>Technical review call</t>
        </is>
      </c>
      <c r="T150" t="inlineStr">
        <is>
          <t>Distributor</t>
        </is>
      </c>
      <c r="U150" t="inlineStr"/>
      <c r="V150">
        <f>IF(S150="",1,0)</f>
        <v/>
      </c>
      <c r="W150">
        <f>IF(J150="",1,0)</f>
        <v/>
      </c>
      <c r="X150">
        <f>IF(F150="",1,0)</f>
        <v/>
      </c>
      <c r="Y150">
        <f>IF(AND(AND(H150&lt;&gt;"Mass production",H150&lt;&gt;"Lost"),DATEVALUE(Q150)&lt;DATE(2026,10,20)),1,0)</f>
        <v/>
      </c>
      <c r="Z150">
        <f>IF(AND(AND(H150&lt;&gt;"Mass production",H150&lt;&gt;"Lost"),R150&gt;30),1,0)</f>
        <v/>
      </c>
      <c r="AA150">
        <f>IF(COUNTIFS($G$2:$G$247,G150,$F$2:$F$247,F150,$J$2:$J$247,J150,$K$2:$K$247,K150)&gt;1,1,0)</f>
        <v/>
      </c>
      <c r="AB150">
        <f>SUM(V150:AA150)</f>
        <v/>
      </c>
    </row>
    <row r="151">
      <c r="A151" t="inlineStr">
        <is>
          <t>OPP-26149</t>
        </is>
      </c>
      <c r="B151" t="inlineStr">
        <is>
          <t>Corvid Health</t>
        </is>
      </c>
      <c r="C151" t="inlineStr">
        <is>
          <t>DACH</t>
        </is>
      </c>
      <c r="D151" t="inlineStr">
        <is>
          <t>Germany</t>
        </is>
      </c>
      <c r="E151" t="inlineStr">
        <is>
          <t>L. Hoffmann</t>
        </is>
      </c>
      <c r="F151" t="inlineStr">
        <is>
          <t>Automotive &amp; C-V2X</t>
        </is>
      </c>
      <c r="G151" t="inlineStr">
        <is>
          <t>LTE Cat 1 bis</t>
        </is>
      </c>
      <c r="H151" t="inlineStr">
        <is>
          <t>Lost</t>
        </is>
      </c>
      <c r="I151" t="n">
        <v>0</v>
      </c>
      <c r="J151" t="n">
        <v>30000</v>
      </c>
      <c r="K151" t="n">
        <v>9.09</v>
      </c>
      <c r="L151" t="n">
        <v>3</v>
      </c>
      <c r="M151" t="n">
        <v>272700</v>
      </c>
      <c r="N151" t="n">
        <v>818100</v>
      </c>
      <c r="O151" t="n">
        <v>0</v>
      </c>
      <c r="P151" t="inlineStr">
        <is>
          <t>2025-02-12</t>
        </is>
      </c>
      <c r="Q151" t="inlineStr">
        <is>
          <t>2025-06-13</t>
        </is>
      </c>
      <c r="R151" t="n">
        <v>17</v>
      </c>
      <c r="S151" t="inlineStr">
        <is>
          <t>Design review</t>
        </is>
      </c>
      <c r="T151" t="inlineStr">
        <is>
          <t>Direct</t>
        </is>
      </c>
      <c r="U151" t="inlineStr">
        <is>
          <t>Certification timeline</t>
        </is>
      </c>
      <c r="V151">
        <f>IF(S151="",1,0)</f>
        <v/>
      </c>
      <c r="W151">
        <f>IF(J151="",1,0)</f>
        <v/>
      </c>
      <c r="X151">
        <f>IF(F151="",1,0)</f>
        <v/>
      </c>
      <c r="Y151">
        <f>IF(AND(AND(H151&lt;&gt;"Mass production",H151&lt;&gt;"Lost"),DATEVALUE(Q151)&lt;DATE(2026,10,20)),1,0)</f>
        <v/>
      </c>
      <c r="Z151">
        <f>IF(AND(AND(H151&lt;&gt;"Mass production",H151&lt;&gt;"Lost"),R151&gt;30),1,0)</f>
        <v/>
      </c>
      <c r="AA151">
        <f>IF(COUNTIFS($G$2:$G$247,G151,$F$2:$F$247,F151,$J$2:$J$247,J151,$K$2:$K$247,K151)&gt;1,1,0)</f>
        <v/>
      </c>
      <c r="AB151">
        <f>SUM(V151:AA151)</f>
        <v/>
      </c>
    </row>
    <row r="152">
      <c r="A152" t="inlineStr">
        <is>
          <t>OPP-26150</t>
        </is>
      </c>
      <c r="B152" t="inlineStr">
        <is>
          <t>Ferro Labs</t>
        </is>
      </c>
      <c r="C152" t="inlineStr">
        <is>
          <t>DACH</t>
        </is>
      </c>
      <c r="D152" t="inlineStr">
        <is>
          <t>Austria</t>
        </is>
      </c>
      <c r="E152" t="inlineStr">
        <is>
          <t>J. Weber</t>
        </is>
      </c>
      <c r="F152" t="inlineStr">
        <is>
          <t>Smart metering</t>
        </is>
      </c>
      <c r="G152" t="inlineStr">
        <is>
          <t>Wi-Fi / Bluetooth</t>
        </is>
      </c>
      <c r="H152" t="inlineStr">
        <is>
          <t>Sample / Evaluation</t>
        </is>
      </c>
      <c r="I152" t="n">
        <v>0.2</v>
      </c>
      <c r="J152" t="n">
        <v>50000</v>
      </c>
      <c r="K152" t="n">
        <v>3.49</v>
      </c>
      <c r="L152" t="n">
        <v>5</v>
      </c>
      <c r="M152" t="n">
        <v>174500</v>
      </c>
      <c r="N152" t="n">
        <v>872500</v>
      </c>
      <c r="O152" t="n">
        <v>174500</v>
      </c>
      <c r="P152" t="inlineStr">
        <is>
          <t>2026-05-20</t>
        </is>
      </c>
      <c r="Q152" t="inlineStr">
        <is>
          <t>2027-06-26</t>
        </is>
      </c>
      <c r="R152" t="n">
        <v>74</v>
      </c>
      <c r="S152" t="inlineStr">
        <is>
          <t>Technical review call</t>
        </is>
      </c>
      <c r="T152" t="inlineStr">
        <is>
          <t>Tradeshow</t>
        </is>
      </c>
      <c r="U152" t="inlineStr"/>
      <c r="V152">
        <f>IF(S152="",1,0)</f>
        <v/>
      </c>
      <c r="W152">
        <f>IF(J152="",1,0)</f>
        <v/>
      </c>
      <c r="X152">
        <f>IF(F152="",1,0)</f>
        <v/>
      </c>
      <c r="Y152">
        <f>IF(AND(AND(H152&lt;&gt;"Mass production",H152&lt;&gt;"Lost"),DATEVALUE(Q152)&lt;DATE(2026,10,20)),1,0)</f>
        <v/>
      </c>
      <c r="Z152">
        <f>IF(AND(AND(H152&lt;&gt;"Mass production",H152&lt;&gt;"Lost"),R152&gt;30),1,0)</f>
        <v/>
      </c>
      <c r="AA152">
        <f>IF(COUNTIFS($G$2:$G$247,G152,$F$2:$F$247,F152,$J$2:$J$247,J152,$K$2:$K$247,K152)&gt;1,1,0)</f>
        <v/>
      </c>
      <c r="AB152">
        <f>SUM(V152:AA152)</f>
        <v/>
      </c>
    </row>
    <row r="153">
      <c r="A153" t="inlineStr">
        <is>
          <t>OPP-26151</t>
        </is>
      </c>
      <c r="B153" t="inlineStr">
        <is>
          <t>Zenit Energy</t>
        </is>
      </c>
      <c r="C153" t="inlineStr">
        <is>
          <t>CEE</t>
        </is>
      </c>
      <c r="D153" t="inlineStr">
        <is>
          <t>Poland</t>
        </is>
      </c>
      <c r="E153" t="inlineStr">
        <is>
          <t>D. Jovanovic</t>
        </is>
      </c>
      <c r="F153" t="inlineStr">
        <is>
          <t>Automotive &amp; C-V2X</t>
        </is>
      </c>
      <c r="G153" t="inlineStr">
        <is>
          <t>Wi-Fi / Bluetooth</t>
        </is>
      </c>
      <c r="H153" t="inlineStr">
        <is>
          <t>Qualified</t>
        </is>
      </c>
      <c r="I153" t="n">
        <v>0.1</v>
      </c>
      <c r="J153" t="n">
        <v>30000</v>
      </c>
      <c r="K153" t="n">
        <v>3.05</v>
      </c>
      <c r="L153" t="n">
        <v>2</v>
      </c>
      <c r="M153" t="n">
        <v>91500</v>
      </c>
      <c r="N153" t="n">
        <v>183000</v>
      </c>
      <c r="O153" t="n">
        <v>18300</v>
      </c>
      <c r="P153" t="inlineStr">
        <is>
          <t>2025-07-19</t>
        </is>
      </c>
      <c r="Q153" t="inlineStr">
        <is>
          <t>2026-12-22</t>
        </is>
      </c>
      <c r="R153" t="n">
        <v>11</v>
      </c>
      <c r="S153" t="inlineStr">
        <is>
          <t>Forecast confirmation</t>
        </is>
      </c>
      <c r="T153" t="inlineStr">
        <is>
          <t>Direct</t>
        </is>
      </c>
      <c r="U153" t="inlineStr"/>
      <c r="V153">
        <f>IF(S153="",1,0)</f>
        <v/>
      </c>
      <c r="W153">
        <f>IF(J153="",1,0)</f>
        <v/>
      </c>
      <c r="X153">
        <f>IF(F153="",1,0)</f>
        <v/>
      </c>
      <c r="Y153">
        <f>IF(AND(AND(H153&lt;&gt;"Mass production",H153&lt;&gt;"Lost"),DATEVALUE(Q153)&lt;DATE(2026,10,20)),1,0)</f>
        <v/>
      </c>
      <c r="Z153">
        <f>IF(AND(AND(H153&lt;&gt;"Mass production",H153&lt;&gt;"Lost"),R153&gt;30),1,0)</f>
        <v/>
      </c>
      <c r="AA153">
        <f>IF(COUNTIFS($G$2:$G$247,G153,$F$2:$F$247,F153,$J$2:$J$247,J153,$K$2:$K$247,K153)&gt;1,1,0)</f>
        <v/>
      </c>
      <c r="AB153">
        <f>SUM(V153:AA153)</f>
        <v/>
      </c>
    </row>
    <row r="154">
      <c r="A154" t="inlineStr">
        <is>
          <t>OPP-26152</t>
        </is>
      </c>
      <c r="B154" t="inlineStr">
        <is>
          <t>Lumen Connect</t>
        </is>
      </c>
      <c r="C154" t="inlineStr">
        <is>
          <t>DACH</t>
        </is>
      </c>
      <c r="D154" t="inlineStr">
        <is>
          <t>Austria</t>
        </is>
      </c>
      <c r="E154" t="inlineStr">
        <is>
          <t>J. Weber</t>
        </is>
      </c>
      <c r="F154" t="inlineStr">
        <is>
          <t>Industrial IoT</t>
        </is>
      </c>
      <c r="G154" t="inlineStr">
        <is>
          <t>LTE-M / NB-IoT</t>
        </is>
      </c>
      <c r="H154" t="inlineStr">
        <is>
          <t>Qualified</t>
        </is>
      </c>
      <c r="I154" t="n">
        <v>0.1</v>
      </c>
      <c r="J154" t="n">
        <v>8000</v>
      </c>
      <c r="K154" t="n">
        <v>7.38</v>
      </c>
      <c r="L154" t="n">
        <v>4</v>
      </c>
      <c r="M154" t="n">
        <v>59040</v>
      </c>
      <c r="N154" t="n">
        <v>236160</v>
      </c>
      <c r="O154" t="n">
        <v>23616</v>
      </c>
      <c r="P154" t="inlineStr">
        <is>
          <t>2026-06-29</t>
        </is>
      </c>
      <c r="Q154" t="inlineStr">
        <is>
          <t>2027-09-05</t>
        </is>
      </c>
      <c r="R154" t="n">
        <v>1</v>
      </c>
      <c r="S154" t="inlineStr">
        <is>
          <t>Price negotiation</t>
        </is>
      </c>
      <c r="T154" t="inlineStr">
        <is>
          <t>Direct</t>
        </is>
      </c>
      <c r="U154" t="inlineStr"/>
      <c r="V154">
        <f>IF(S154="",1,0)</f>
        <v/>
      </c>
      <c r="W154">
        <f>IF(J154="",1,0)</f>
        <v/>
      </c>
      <c r="X154">
        <f>IF(F154="",1,0)</f>
        <v/>
      </c>
      <c r="Y154">
        <f>IF(AND(AND(H154&lt;&gt;"Mass production",H154&lt;&gt;"Lost"),DATEVALUE(Q154)&lt;DATE(2026,10,20)),1,0)</f>
        <v/>
      </c>
      <c r="Z154">
        <f>IF(AND(AND(H154&lt;&gt;"Mass production",H154&lt;&gt;"Lost"),R154&gt;30),1,0)</f>
        <v/>
      </c>
      <c r="AA154">
        <f>IF(COUNTIFS($G$2:$G$247,G154,$F$2:$F$247,F154,$J$2:$J$247,J154,$K$2:$K$247,K154)&gt;1,1,0)</f>
        <v/>
      </c>
      <c r="AB154">
        <f>SUM(V154:AA154)</f>
        <v/>
      </c>
    </row>
    <row r="155">
      <c r="A155" t="inlineStr">
        <is>
          <t>OPP-26153</t>
        </is>
      </c>
      <c r="B155" t="inlineStr">
        <is>
          <t>Arcturus Telematics</t>
        </is>
      </c>
      <c r="C155" t="inlineStr">
        <is>
          <t>UK &amp; Ireland</t>
        </is>
      </c>
      <c r="D155" t="inlineStr">
        <is>
          <t>Ireland</t>
        </is>
      </c>
      <c r="E155" t="inlineStr">
        <is>
          <t>R. Patel</t>
        </is>
      </c>
      <c r="F155" t="inlineStr">
        <is>
          <t>Asset tracking</t>
        </is>
      </c>
      <c r="G155" t="inlineStr">
        <is>
          <t>LTE-M / NB-IoT</t>
        </is>
      </c>
      <c r="H155" t="inlineStr">
        <is>
          <t>Lost</t>
        </is>
      </c>
      <c r="I155" t="n">
        <v>0</v>
      </c>
      <c r="J155" t="n">
        <v>30000</v>
      </c>
      <c r="K155" t="n">
        <v>7.58</v>
      </c>
      <c r="L155" t="n">
        <v>2</v>
      </c>
      <c r="M155" t="n">
        <v>227400</v>
      </c>
      <c r="N155" t="n">
        <v>454800</v>
      </c>
      <c r="O155" t="n">
        <v>0</v>
      </c>
      <c r="P155" t="inlineStr">
        <is>
          <t>2026-02-08</t>
        </is>
      </c>
      <c r="Q155" t="inlineStr">
        <is>
          <t>2026-10-17</t>
        </is>
      </c>
      <c r="R155" t="n">
        <v>11</v>
      </c>
      <c r="S155" t="inlineStr">
        <is>
          <t>Design review</t>
        </is>
      </c>
      <c r="T155" t="inlineStr">
        <is>
          <t>Tradeshow</t>
        </is>
      </c>
      <c r="U155" t="inlineStr">
        <is>
          <t>Competitor module</t>
        </is>
      </c>
      <c r="V155">
        <f>IF(S155="",1,0)</f>
        <v/>
      </c>
      <c r="W155">
        <f>IF(J155="",1,0)</f>
        <v/>
      </c>
      <c r="X155">
        <f>IF(F155="",1,0)</f>
        <v/>
      </c>
      <c r="Y155">
        <f>IF(AND(AND(H155&lt;&gt;"Mass production",H155&lt;&gt;"Lost"),DATEVALUE(Q155)&lt;DATE(2026,10,20)),1,0)</f>
        <v/>
      </c>
      <c r="Z155">
        <f>IF(AND(AND(H155&lt;&gt;"Mass production",H155&lt;&gt;"Lost"),R155&gt;30),1,0)</f>
        <v/>
      </c>
      <c r="AA155">
        <f>IF(COUNTIFS($G$2:$G$247,G155,$F$2:$F$247,F155,$J$2:$J$247,J155,$K$2:$K$247,K155)&gt;1,1,0)</f>
        <v/>
      </c>
      <c r="AB155">
        <f>SUM(V155:AA155)</f>
        <v/>
      </c>
    </row>
    <row r="156">
      <c r="A156" t="inlineStr">
        <is>
          <t>OPP-26154</t>
        </is>
      </c>
      <c r="B156" t="inlineStr">
        <is>
          <t>Alpenlink Metering</t>
        </is>
      </c>
      <c r="C156" t="inlineStr">
        <is>
          <t>UK &amp; Ireland</t>
        </is>
      </c>
      <c r="D156" t="inlineStr">
        <is>
          <t>United Kingdom</t>
        </is>
      </c>
      <c r="E156" t="inlineStr">
        <is>
          <t>R. Patel</t>
        </is>
      </c>
      <c r="F156" t="inlineStr">
        <is>
          <t>Telematics</t>
        </is>
      </c>
      <c r="G156" t="inlineStr">
        <is>
          <t>GNSS</t>
        </is>
      </c>
      <c r="H156" t="inlineStr">
        <is>
          <t>Qualified</t>
        </is>
      </c>
      <c r="I156" t="n">
        <v>0.1</v>
      </c>
      <c r="J156" t="inlineStr"/>
      <c r="K156" t="n">
        <v>6.6</v>
      </c>
      <c r="L156" t="n">
        <v>3</v>
      </c>
      <c r="M156" t="n">
        <v>0</v>
      </c>
      <c r="N156" t="n">
        <v>0</v>
      </c>
      <c r="O156" t="n">
        <v>0</v>
      </c>
      <c r="P156" t="inlineStr">
        <is>
          <t>2025-07-07</t>
        </is>
      </c>
      <c r="Q156" t="inlineStr">
        <is>
          <t>2027-03-08</t>
        </is>
      </c>
      <c r="R156" t="n">
        <v>21</v>
      </c>
      <c r="S156" t="inlineStr">
        <is>
          <t>Certification plan</t>
        </is>
      </c>
      <c r="T156" t="inlineStr">
        <is>
          <t>Direct</t>
        </is>
      </c>
      <c r="U156" t="inlineStr"/>
      <c r="V156">
        <f>IF(S156="",1,0)</f>
        <v/>
      </c>
      <c r="W156">
        <f>IF(J156="",1,0)</f>
        <v/>
      </c>
      <c r="X156">
        <f>IF(F156="",1,0)</f>
        <v/>
      </c>
      <c r="Y156">
        <f>IF(AND(AND(H156&lt;&gt;"Mass production",H156&lt;&gt;"Lost"),DATEVALUE(Q156)&lt;DATE(2026,10,20)),1,0)</f>
        <v/>
      </c>
      <c r="Z156">
        <f>IF(AND(AND(H156&lt;&gt;"Mass production",H156&lt;&gt;"Lost"),R156&gt;30),1,0)</f>
        <v/>
      </c>
      <c r="AA156">
        <f>IF(COUNTIFS($G$2:$G$247,G156,$F$2:$F$247,F156,$J$2:$J$247,J156,$K$2:$K$247,K156)&gt;1,1,0)</f>
        <v/>
      </c>
      <c r="AB156">
        <f>SUM(V156:AA156)</f>
        <v/>
      </c>
    </row>
    <row r="157">
      <c r="A157" t="inlineStr">
        <is>
          <t>OPP-26155</t>
        </is>
      </c>
      <c r="B157" t="inlineStr">
        <is>
          <t>Arcturus Telematics</t>
        </is>
      </c>
      <c r="C157" t="inlineStr">
        <is>
          <t>UK &amp; Ireland</t>
        </is>
      </c>
      <c r="D157" t="inlineStr">
        <is>
          <t>Ireland</t>
        </is>
      </c>
      <c r="E157" t="inlineStr">
        <is>
          <t>R. Patel</t>
        </is>
      </c>
      <c r="F157" t="inlineStr">
        <is>
          <t>Smart metering</t>
        </is>
      </c>
      <c r="G157" t="inlineStr">
        <is>
          <t>LTE-M / NB-IoT</t>
        </is>
      </c>
      <c r="H157" t="inlineStr">
        <is>
          <t>Design-win</t>
        </is>
      </c>
      <c r="I157" t="n">
        <v>0.7</v>
      </c>
      <c r="J157" t="n">
        <v>20000</v>
      </c>
      <c r="K157" t="n">
        <v>6.55</v>
      </c>
      <c r="L157" t="n">
        <v>3</v>
      </c>
      <c r="M157" t="n">
        <v>131000</v>
      </c>
      <c r="N157" t="n">
        <v>393000</v>
      </c>
      <c r="O157" t="n">
        <v>275100</v>
      </c>
      <c r="P157" t="inlineStr">
        <is>
          <t>2026-05-10</t>
        </is>
      </c>
      <c r="Q157" t="inlineStr">
        <is>
          <t>2027-01-14</t>
        </is>
      </c>
      <c r="R157" t="n">
        <v>4</v>
      </c>
      <c r="S157" t="inlineStr">
        <is>
          <t>Pilot build follow-up</t>
        </is>
      </c>
      <c r="T157" t="inlineStr">
        <is>
          <t>Direct</t>
        </is>
      </c>
      <c r="U157" t="inlineStr"/>
      <c r="V157">
        <f>IF(S157="",1,0)</f>
        <v/>
      </c>
      <c r="W157">
        <f>IF(J157="",1,0)</f>
        <v/>
      </c>
      <c r="X157">
        <f>IF(F157="",1,0)</f>
        <v/>
      </c>
      <c r="Y157">
        <f>IF(AND(AND(H157&lt;&gt;"Mass production",H157&lt;&gt;"Lost"),DATEVALUE(Q157)&lt;DATE(2026,10,20)),1,0)</f>
        <v/>
      </c>
      <c r="Z157">
        <f>IF(AND(AND(H157&lt;&gt;"Mass production",H157&lt;&gt;"Lost"),R157&gt;30),1,0)</f>
        <v/>
      </c>
      <c r="AA157">
        <f>IF(COUNTIFS($G$2:$G$247,G157,$F$2:$F$247,F157,$J$2:$J$247,J157,$K$2:$K$247,K157)&gt;1,1,0)</f>
        <v/>
      </c>
      <c r="AB157">
        <f>SUM(V157:AA157)</f>
        <v/>
      </c>
    </row>
    <row r="158">
      <c r="A158" t="inlineStr">
        <is>
          <t>OPP-26156</t>
        </is>
      </c>
      <c r="B158" t="inlineStr">
        <is>
          <t>Danubia Labs</t>
        </is>
      </c>
      <c r="C158" t="inlineStr">
        <is>
          <t>CEE</t>
        </is>
      </c>
      <c r="D158" t="inlineStr">
        <is>
          <t>Hungary</t>
        </is>
      </c>
      <c r="E158" t="inlineStr">
        <is>
          <t>K. Nowak</t>
        </is>
      </c>
      <c r="F158" t="inlineStr">
        <is>
          <t>Healthcare</t>
        </is>
      </c>
      <c r="G158" t="inlineStr">
        <is>
          <t>LTE Cat 1 bis</t>
        </is>
      </c>
      <c r="H158" t="inlineStr">
        <is>
          <t>Pilot</t>
        </is>
      </c>
      <c r="I158" t="n">
        <v>0.85</v>
      </c>
      <c r="J158" t="n">
        <v>8000</v>
      </c>
      <c r="K158" t="n">
        <v>9.76</v>
      </c>
      <c r="L158" t="n">
        <v>4</v>
      </c>
      <c r="M158" t="n">
        <v>78080</v>
      </c>
      <c r="N158" t="n">
        <v>312320</v>
      </c>
      <c r="O158" t="n">
        <v>265472</v>
      </c>
      <c r="P158" t="inlineStr">
        <is>
          <t>2025-08-31</t>
        </is>
      </c>
      <c r="Q158" t="inlineStr">
        <is>
          <t>2026-11-06</t>
        </is>
      </c>
      <c r="R158" t="n">
        <v>3</v>
      </c>
      <c r="S158" t="inlineStr">
        <is>
          <t>Forecast confirmation</t>
        </is>
      </c>
      <c r="T158" t="inlineStr">
        <is>
          <t>Direct</t>
        </is>
      </c>
      <c r="U158" t="inlineStr"/>
      <c r="V158">
        <f>IF(S158="",1,0)</f>
        <v/>
      </c>
      <c r="W158">
        <f>IF(J158="",1,0)</f>
        <v/>
      </c>
      <c r="X158">
        <f>IF(F158="",1,0)</f>
        <v/>
      </c>
      <c r="Y158">
        <f>IF(AND(AND(H158&lt;&gt;"Mass production",H158&lt;&gt;"Lost"),DATEVALUE(Q158)&lt;DATE(2026,10,20)),1,0)</f>
        <v/>
      </c>
      <c r="Z158">
        <f>IF(AND(AND(H158&lt;&gt;"Mass production",H158&lt;&gt;"Lost"),R158&gt;30),1,0)</f>
        <v/>
      </c>
      <c r="AA158">
        <f>IF(COUNTIFS($G$2:$G$247,G158,$F$2:$F$247,F158,$J$2:$J$247,J158,$K$2:$K$247,K158)&gt;1,1,0)</f>
        <v/>
      </c>
      <c r="AB158">
        <f>SUM(V158:AA158)</f>
        <v/>
      </c>
    </row>
    <row r="159">
      <c r="A159" t="inlineStr">
        <is>
          <t>OPP-26157</t>
        </is>
      </c>
      <c r="B159" t="inlineStr">
        <is>
          <t>Bluecell Labs</t>
        </is>
      </c>
      <c r="C159" t="inlineStr">
        <is>
          <t>Southern Europe</t>
        </is>
      </c>
      <c r="D159" t="inlineStr">
        <is>
          <t>Portugal</t>
        </is>
      </c>
      <c r="E159" t="inlineStr">
        <is>
          <t>M. Rossi</t>
        </is>
      </c>
      <c r="F159" t="inlineStr">
        <is>
          <t>Smart home &amp; security</t>
        </is>
      </c>
      <c r="G159" t="inlineStr">
        <is>
          <t>GNSS</t>
        </is>
      </c>
      <c r="H159" t="inlineStr">
        <is>
          <t>Design-in</t>
        </is>
      </c>
      <c r="I159" t="n">
        <v>0.4</v>
      </c>
      <c r="J159" t="n">
        <v>30000</v>
      </c>
      <c r="K159" t="n">
        <v>7.26</v>
      </c>
      <c r="L159" t="n">
        <v>2</v>
      </c>
      <c r="M159" t="n">
        <v>217800</v>
      </c>
      <c r="N159" t="n">
        <v>435600</v>
      </c>
      <c r="O159" t="n">
        <v>174240</v>
      </c>
      <c r="P159" t="inlineStr">
        <is>
          <t>2026-09-13</t>
        </is>
      </c>
      <c r="Q159" t="inlineStr">
        <is>
          <t>2027-07-07</t>
        </is>
      </c>
      <c r="R159" t="n">
        <v>1</v>
      </c>
      <c r="S159" t="inlineStr">
        <is>
          <t>Pilot build follow-up</t>
        </is>
      </c>
      <c r="T159" t="inlineStr">
        <is>
          <t>Tradeshow</t>
        </is>
      </c>
      <c r="U159" t="inlineStr"/>
      <c r="V159">
        <f>IF(S159="",1,0)</f>
        <v/>
      </c>
      <c r="W159">
        <f>IF(J159="",1,0)</f>
        <v/>
      </c>
      <c r="X159">
        <f>IF(F159="",1,0)</f>
        <v/>
      </c>
      <c r="Y159">
        <f>IF(AND(AND(H159&lt;&gt;"Mass production",H159&lt;&gt;"Lost"),DATEVALUE(Q159)&lt;DATE(2026,10,20)),1,0)</f>
        <v/>
      </c>
      <c r="Z159">
        <f>IF(AND(AND(H159&lt;&gt;"Mass production",H159&lt;&gt;"Lost"),R159&gt;30),1,0)</f>
        <v/>
      </c>
      <c r="AA159">
        <f>IF(COUNTIFS($G$2:$G$247,G159,$F$2:$F$247,F159,$J$2:$J$247,J159,$K$2:$K$247,K159)&gt;1,1,0)</f>
        <v/>
      </c>
      <c r="AB159">
        <f>SUM(V159:AA159)</f>
        <v/>
      </c>
    </row>
    <row r="160">
      <c r="A160" t="inlineStr">
        <is>
          <t>OPP-26158</t>
        </is>
      </c>
      <c r="B160" t="inlineStr">
        <is>
          <t>Stellar Energy</t>
        </is>
      </c>
      <c r="C160" t="inlineStr">
        <is>
          <t>Middle East &amp; Africa</t>
        </is>
      </c>
      <c r="D160" t="inlineStr">
        <is>
          <t>South Africa</t>
        </is>
      </c>
      <c r="E160" t="inlineStr">
        <is>
          <t>Y. Cohen</t>
        </is>
      </c>
      <c r="F160" t="inlineStr">
        <is>
          <t>Asset tracking</t>
        </is>
      </c>
      <c r="G160" t="inlineStr">
        <is>
          <t>LTE-M / NB-IoT</t>
        </is>
      </c>
      <c r="H160" t="inlineStr">
        <is>
          <t>Design-in</t>
        </is>
      </c>
      <c r="I160" t="n">
        <v>0.4</v>
      </c>
      <c r="J160" t="n">
        <v>50000</v>
      </c>
      <c r="K160" t="n">
        <v>5.75</v>
      </c>
      <c r="L160" t="n">
        <v>5</v>
      </c>
      <c r="M160" t="n">
        <v>287500</v>
      </c>
      <c r="N160" t="n">
        <v>1437500</v>
      </c>
      <c r="O160" t="n">
        <v>575000</v>
      </c>
      <c r="P160" t="inlineStr">
        <is>
          <t>2026-04-27</t>
        </is>
      </c>
      <c r="Q160" t="inlineStr">
        <is>
          <t>2027-01-30</t>
        </is>
      </c>
      <c r="R160" t="n">
        <v>1</v>
      </c>
      <c r="S160" t="inlineStr">
        <is>
          <t>Forecast confirmation</t>
        </is>
      </c>
      <c r="T160" t="inlineStr">
        <is>
          <t>Distributor</t>
        </is>
      </c>
      <c r="U160" t="inlineStr"/>
      <c r="V160">
        <f>IF(S160="",1,0)</f>
        <v/>
      </c>
      <c r="W160">
        <f>IF(J160="",1,0)</f>
        <v/>
      </c>
      <c r="X160">
        <f>IF(F160="",1,0)</f>
        <v/>
      </c>
      <c r="Y160">
        <f>IF(AND(AND(H160&lt;&gt;"Mass production",H160&lt;&gt;"Lost"),DATEVALUE(Q160)&lt;DATE(2026,10,20)),1,0)</f>
        <v/>
      </c>
      <c r="Z160">
        <f>IF(AND(AND(H160&lt;&gt;"Mass production",H160&lt;&gt;"Lost"),R160&gt;30),1,0)</f>
        <v/>
      </c>
      <c r="AA160">
        <f>IF(COUNTIFS($G$2:$G$247,G160,$F$2:$F$247,F160,$J$2:$J$247,J160,$K$2:$K$247,K160)&gt;1,1,0)</f>
        <v/>
      </c>
      <c r="AB160">
        <f>SUM(V160:AA160)</f>
        <v/>
      </c>
    </row>
    <row r="161">
      <c r="A161" t="inlineStr">
        <is>
          <t>OPP-26159</t>
        </is>
      </c>
      <c r="B161" t="inlineStr">
        <is>
          <t>Lumen Connect</t>
        </is>
      </c>
      <c r="C161" t="inlineStr">
        <is>
          <t>DACH</t>
        </is>
      </c>
      <c r="D161" t="inlineStr">
        <is>
          <t>Austria</t>
        </is>
      </c>
      <c r="E161" t="inlineStr">
        <is>
          <t>J. Weber</t>
        </is>
      </c>
      <c r="F161" t="inlineStr">
        <is>
          <t>POS &amp; payments</t>
        </is>
      </c>
      <c r="G161" t="inlineStr">
        <is>
          <t>5G RedCap</t>
        </is>
      </c>
      <c r="H161" t="inlineStr">
        <is>
          <t>Design-win</t>
        </is>
      </c>
      <c r="I161" t="n">
        <v>0.7</v>
      </c>
      <c r="J161" t="n">
        <v>20000</v>
      </c>
      <c r="K161" t="n">
        <v>45.44</v>
      </c>
      <c r="L161" t="n">
        <v>3</v>
      </c>
      <c r="M161" t="n">
        <v>908800</v>
      </c>
      <c r="N161" t="n">
        <v>2726400</v>
      </c>
      <c r="O161" t="n">
        <v>1908480</v>
      </c>
      <c r="P161" t="inlineStr">
        <is>
          <t>2026-08-02</t>
        </is>
      </c>
      <c r="Q161" t="inlineStr">
        <is>
          <t>2027-01-13</t>
        </is>
      </c>
      <c r="R161" t="n">
        <v>1</v>
      </c>
      <c r="S161" t="inlineStr">
        <is>
          <t>Quote revision</t>
        </is>
      </c>
      <c r="T161" t="inlineStr">
        <is>
          <t>Direct</t>
        </is>
      </c>
      <c r="U161" t="inlineStr"/>
      <c r="V161">
        <f>IF(S161="",1,0)</f>
        <v/>
      </c>
      <c r="W161">
        <f>IF(J161="",1,0)</f>
        <v/>
      </c>
      <c r="X161">
        <f>IF(F161="",1,0)</f>
        <v/>
      </c>
      <c r="Y161">
        <f>IF(AND(AND(H161&lt;&gt;"Mass production",H161&lt;&gt;"Lost"),DATEVALUE(Q161)&lt;DATE(2026,10,20)),1,0)</f>
        <v/>
      </c>
      <c r="Z161">
        <f>IF(AND(AND(H161&lt;&gt;"Mass production",H161&lt;&gt;"Lost"),R161&gt;30),1,0)</f>
        <v/>
      </c>
      <c r="AA161">
        <f>IF(COUNTIFS($G$2:$G$247,G161,$F$2:$F$247,F161,$J$2:$J$247,J161,$K$2:$K$247,K161)&gt;1,1,0)</f>
        <v/>
      </c>
      <c r="AB161">
        <f>SUM(V161:AA161)</f>
        <v/>
      </c>
    </row>
    <row r="162">
      <c r="A162" t="inlineStr">
        <is>
          <t>OPP-26160</t>
        </is>
      </c>
      <c r="B162" t="inlineStr">
        <is>
          <t>Morava Systems</t>
        </is>
      </c>
      <c r="C162" t="inlineStr">
        <is>
          <t>France &amp; Benelux</t>
        </is>
      </c>
      <c r="D162" t="inlineStr">
        <is>
          <t>Netherlands</t>
        </is>
      </c>
      <c r="E162" t="inlineStr">
        <is>
          <t>C. Martin</t>
        </is>
      </c>
      <c r="F162" t="inlineStr">
        <is>
          <t>Smart metering</t>
        </is>
      </c>
      <c r="G162" t="inlineStr">
        <is>
          <t>LTE-M / NB-IoT</t>
        </is>
      </c>
      <c r="H162" t="inlineStr">
        <is>
          <t>Lead</t>
        </is>
      </c>
      <c r="I162" t="n">
        <v>0.05</v>
      </c>
      <c r="J162" t="n">
        <v>50000</v>
      </c>
      <c r="K162" t="n">
        <v>8.359999999999999</v>
      </c>
      <c r="L162" t="n">
        <v>5</v>
      </c>
      <c r="M162" t="n">
        <v>418000</v>
      </c>
      <c r="N162" t="n">
        <v>2090000</v>
      </c>
      <c r="O162" t="n">
        <v>104500</v>
      </c>
      <c r="P162" t="inlineStr">
        <is>
          <t>2026-01-08</t>
        </is>
      </c>
      <c r="Q162" t="inlineStr">
        <is>
          <t>2026-12-04</t>
        </is>
      </c>
      <c r="R162" t="n">
        <v>19</v>
      </c>
      <c r="S162" t="inlineStr">
        <is>
          <t>Forecast confirmation</t>
        </is>
      </c>
      <c r="T162" t="inlineStr">
        <is>
          <t>Website</t>
        </is>
      </c>
      <c r="U162" t="inlineStr"/>
      <c r="V162">
        <f>IF(S162="",1,0)</f>
        <v/>
      </c>
      <c r="W162">
        <f>IF(J162="",1,0)</f>
        <v/>
      </c>
      <c r="X162">
        <f>IF(F162="",1,0)</f>
        <v/>
      </c>
      <c r="Y162">
        <f>IF(AND(AND(H162&lt;&gt;"Mass production",H162&lt;&gt;"Lost"),DATEVALUE(Q162)&lt;DATE(2026,10,20)),1,0)</f>
        <v/>
      </c>
      <c r="Z162">
        <f>IF(AND(AND(H162&lt;&gt;"Mass production",H162&lt;&gt;"Lost"),R162&gt;30),1,0)</f>
        <v/>
      </c>
      <c r="AA162">
        <f>IF(COUNTIFS($G$2:$G$247,G162,$F$2:$F$247,F162,$J$2:$J$247,J162,$K$2:$K$247,K162)&gt;1,1,0)</f>
        <v/>
      </c>
      <c r="AB162">
        <f>SUM(V162:AA162)</f>
        <v/>
      </c>
    </row>
    <row r="163">
      <c r="A163" t="inlineStr">
        <is>
          <t>OPP-26161</t>
        </is>
      </c>
      <c r="B163" t="inlineStr">
        <is>
          <t>Kestrel Systems</t>
        </is>
      </c>
      <c r="C163" t="inlineStr">
        <is>
          <t>DACH</t>
        </is>
      </c>
      <c r="D163" t="inlineStr">
        <is>
          <t>Austria</t>
        </is>
      </c>
      <c r="E163" t="inlineStr">
        <is>
          <t>J. Weber</t>
        </is>
      </c>
      <c r="F163" t="inlineStr">
        <is>
          <t>POS &amp; payments</t>
        </is>
      </c>
      <c r="G163" t="inlineStr">
        <is>
          <t>GNSS</t>
        </is>
      </c>
      <c r="H163" t="inlineStr">
        <is>
          <t>Sample / Evaluation</t>
        </is>
      </c>
      <c r="I163" t="n">
        <v>0.2</v>
      </c>
      <c r="J163" t="n">
        <v>30000</v>
      </c>
      <c r="K163" t="n">
        <v>6.95</v>
      </c>
      <c r="L163" t="n">
        <v>4</v>
      </c>
      <c r="M163" t="n">
        <v>208500</v>
      </c>
      <c r="N163" t="n">
        <v>834000</v>
      </c>
      <c r="O163" t="n">
        <v>166800</v>
      </c>
      <c r="P163" t="inlineStr">
        <is>
          <t>2025-04-25</t>
        </is>
      </c>
      <c r="Q163" t="inlineStr">
        <is>
          <t>2027-03-13</t>
        </is>
      </c>
      <c r="R163" t="n">
        <v>0</v>
      </c>
      <c r="S163" t="inlineStr">
        <is>
          <t>Technical review call</t>
        </is>
      </c>
      <c r="T163" t="inlineStr">
        <is>
          <t>FAE referral</t>
        </is>
      </c>
      <c r="U163" t="inlineStr"/>
      <c r="V163">
        <f>IF(S163="",1,0)</f>
        <v/>
      </c>
      <c r="W163">
        <f>IF(J163="",1,0)</f>
        <v/>
      </c>
      <c r="X163">
        <f>IF(F163="",1,0)</f>
        <v/>
      </c>
      <c r="Y163">
        <f>IF(AND(AND(H163&lt;&gt;"Mass production",H163&lt;&gt;"Lost"),DATEVALUE(Q163)&lt;DATE(2026,10,20)),1,0)</f>
        <v/>
      </c>
      <c r="Z163">
        <f>IF(AND(AND(H163&lt;&gt;"Mass production",H163&lt;&gt;"Lost"),R163&gt;30),1,0)</f>
        <v/>
      </c>
      <c r="AA163">
        <f>IF(COUNTIFS($G$2:$G$247,G163,$F$2:$F$247,F163,$J$2:$J$247,J163,$K$2:$K$247,K163)&gt;1,1,0)</f>
        <v/>
      </c>
      <c r="AB163">
        <f>SUM(V163:AA163)</f>
        <v/>
      </c>
    </row>
    <row r="164">
      <c r="A164" t="inlineStr">
        <is>
          <t>OPP-26162</t>
        </is>
      </c>
      <c r="B164" t="inlineStr">
        <is>
          <t>Zenit Devices</t>
        </is>
      </c>
      <c r="C164" t="inlineStr">
        <is>
          <t>Nordics</t>
        </is>
      </c>
      <c r="D164" t="inlineStr">
        <is>
          <t>Sweden</t>
        </is>
      </c>
      <c r="E164" t="inlineStr">
        <is>
          <t>E. Lindqvist</t>
        </is>
      </c>
      <c r="F164" t="inlineStr">
        <is>
          <t>Smart home &amp; security</t>
        </is>
      </c>
      <c r="G164" t="inlineStr">
        <is>
          <t>GNSS</t>
        </is>
      </c>
      <c r="H164" t="inlineStr">
        <is>
          <t>Qualified</t>
        </is>
      </c>
      <c r="I164" t="n">
        <v>0.1</v>
      </c>
      <c r="J164" t="n">
        <v>2000</v>
      </c>
      <c r="K164" t="n">
        <v>3.51</v>
      </c>
      <c r="L164" t="n">
        <v>3</v>
      </c>
      <c r="M164" t="n">
        <v>7020</v>
      </c>
      <c r="N164" t="n">
        <v>21060</v>
      </c>
      <c r="O164" t="n">
        <v>2106</v>
      </c>
      <c r="P164" t="inlineStr">
        <is>
          <t>2026-08-14</t>
        </is>
      </c>
      <c r="Q164" t="inlineStr">
        <is>
          <t>2027-05-09</t>
        </is>
      </c>
      <c r="R164" t="n">
        <v>5</v>
      </c>
      <c r="S164" t="inlineStr">
        <is>
          <t>Certification plan</t>
        </is>
      </c>
      <c r="T164" t="inlineStr">
        <is>
          <t>Direct</t>
        </is>
      </c>
      <c r="U164" t="inlineStr"/>
      <c r="V164">
        <f>IF(S164="",1,0)</f>
        <v/>
      </c>
      <c r="W164">
        <f>IF(J164="",1,0)</f>
        <v/>
      </c>
      <c r="X164">
        <f>IF(F164="",1,0)</f>
        <v/>
      </c>
      <c r="Y164">
        <f>IF(AND(AND(H164&lt;&gt;"Mass production",H164&lt;&gt;"Lost"),DATEVALUE(Q164)&lt;DATE(2026,10,20)),1,0)</f>
        <v/>
      </c>
      <c r="Z164">
        <f>IF(AND(AND(H164&lt;&gt;"Mass production",H164&lt;&gt;"Lost"),R164&gt;30),1,0)</f>
        <v/>
      </c>
      <c r="AA164">
        <f>IF(COUNTIFS($G$2:$G$247,G164,$F$2:$F$247,F164,$J$2:$J$247,J164,$K$2:$K$247,K164)&gt;1,1,0)</f>
        <v/>
      </c>
      <c r="AB164">
        <f>SUM(V164:AA164)</f>
        <v/>
      </c>
    </row>
    <row r="165">
      <c r="A165" t="inlineStr">
        <is>
          <t>OPP-26163</t>
        </is>
      </c>
      <c r="B165" t="inlineStr">
        <is>
          <t>Zenit Telematics</t>
        </is>
      </c>
      <c r="C165" t="inlineStr">
        <is>
          <t>UK &amp; Ireland</t>
        </is>
      </c>
      <c r="D165" t="inlineStr">
        <is>
          <t>Ireland</t>
        </is>
      </c>
      <c r="E165" t="inlineStr">
        <is>
          <t>S. Clarke</t>
        </is>
      </c>
      <c r="F165" t="inlineStr">
        <is>
          <t>Smart home &amp; security</t>
        </is>
      </c>
      <c r="G165" t="inlineStr">
        <is>
          <t>Wi-Fi / Bluetooth</t>
        </is>
      </c>
      <c r="H165" t="inlineStr">
        <is>
          <t>Sample / Evaluation</t>
        </is>
      </c>
      <c r="I165" t="n">
        <v>0.2</v>
      </c>
      <c r="J165" t="n">
        <v>15000</v>
      </c>
      <c r="K165" t="n">
        <v>2.77</v>
      </c>
      <c r="L165" t="n">
        <v>2</v>
      </c>
      <c r="M165" t="n">
        <v>41550</v>
      </c>
      <c r="N165" t="n">
        <v>83100</v>
      </c>
      <c r="O165" t="n">
        <v>16620</v>
      </c>
      <c r="P165" t="inlineStr">
        <is>
          <t>2025-05-04</t>
        </is>
      </c>
      <c r="Q165" t="inlineStr">
        <is>
          <t>2027-08-20</t>
        </is>
      </c>
      <c r="R165" t="n">
        <v>14</v>
      </c>
      <c r="S165" t="inlineStr">
        <is>
          <t>Technical review call</t>
        </is>
      </c>
      <c r="T165" t="inlineStr">
        <is>
          <t>Website</t>
        </is>
      </c>
      <c r="U165" t="inlineStr"/>
      <c r="V165">
        <f>IF(S165="",1,0)</f>
        <v/>
      </c>
      <c r="W165">
        <f>IF(J165="",1,0)</f>
        <v/>
      </c>
      <c r="X165">
        <f>IF(F165="",1,0)</f>
        <v/>
      </c>
      <c r="Y165">
        <f>IF(AND(AND(H165&lt;&gt;"Mass production",H165&lt;&gt;"Lost"),DATEVALUE(Q165)&lt;DATE(2026,10,20)),1,0)</f>
        <v/>
      </c>
      <c r="Z165">
        <f>IF(AND(AND(H165&lt;&gt;"Mass production",H165&lt;&gt;"Lost"),R165&gt;30),1,0)</f>
        <v/>
      </c>
      <c r="AA165">
        <f>IF(COUNTIFS($G$2:$G$247,G165,$F$2:$F$247,F165,$J$2:$J$247,J165,$K$2:$K$247,K165)&gt;1,1,0)</f>
        <v/>
      </c>
      <c r="AB165">
        <f>SUM(V165:AA165)</f>
        <v/>
      </c>
    </row>
    <row r="166">
      <c r="A166" t="inlineStr">
        <is>
          <t>OPP-26164</t>
        </is>
      </c>
      <c r="B166" t="inlineStr">
        <is>
          <t>Nordwind Connect</t>
        </is>
      </c>
      <c r="C166" t="inlineStr">
        <is>
          <t>UK &amp; Ireland</t>
        </is>
      </c>
      <c r="D166" t="inlineStr">
        <is>
          <t>United Kingdom</t>
        </is>
      </c>
      <c r="E166" t="inlineStr">
        <is>
          <t>R. Patel</t>
        </is>
      </c>
      <c r="F166" t="inlineStr">
        <is>
          <t>Telematics</t>
        </is>
      </c>
      <c r="G166" t="inlineStr">
        <is>
          <t>GNSS</t>
        </is>
      </c>
      <c r="H166" t="inlineStr">
        <is>
          <t>Sample / Evaluation</t>
        </is>
      </c>
      <c r="I166" t="n">
        <v>0.2</v>
      </c>
      <c r="J166" t="n">
        <v>15000</v>
      </c>
      <c r="K166" t="n">
        <v>6.01</v>
      </c>
      <c r="L166" t="n">
        <v>3</v>
      </c>
      <c r="M166" t="n">
        <v>90150</v>
      </c>
      <c r="N166" t="n">
        <v>270450</v>
      </c>
      <c r="O166" t="n">
        <v>54090</v>
      </c>
      <c r="P166" t="inlineStr">
        <is>
          <t>2025-12-06</t>
        </is>
      </c>
      <c r="Q166" t="inlineStr">
        <is>
          <t>2027-06-25</t>
        </is>
      </c>
      <c r="R166" t="n">
        <v>12</v>
      </c>
      <c r="S166" t="inlineStr">
        <is>
          <t>Certification plan</t>
        </is>
      </c>
      <c r="T166" t="inlineStr">
        <is>
          <t>Tradeshow</t>
        </is>
      </c>
      <c r="U166" t="inlineStr"/>
      <c r="V166">
        <f>IF(S166="",1,0)</f>
        <v/>
      </c>
      <c r="W166">
        <f>IF(J166="",1,0)</f>
        <v/>
      </c>
      <c r="X166">
        <f>IF(F166="",1,0)</f>
        <v/>
      </c>
      <c r="Y166">
        <f>IF(AND(AND(H166&lt;&gt;"Mass production",H166&lt;&gt;"Lost"),DATEVALUE(Q166)&lt;DATE(2026,10,20)),1,0)</f>
        <v/>
      </c>
      <c r="Z166">
        <f>IF(AND(AND(H166&lt;&gt;"Mass production",H166&lt;&gt;"Lost"),R166&gt;30),1,0)</f>
        <v/>
      </c>
      <c r="AA166">
        <f>IF(COUNTIFS($G$2:$G$247,G166,$F$2:$F$247,F166,$J$2:$J$247,J166,$K$2:$K$247,K166)&gt;1,1,0)</f>
        <v/>
      </c>
      <c r="AB166">
        <f>SUM(V166:AA166)</f>
        <v/>
      </c>
    </row>
    <row r="167">
      <c r="A167" t="inlineStr">
        <is>
          <t>OPP-26165</t>
        </is>
      </c>
      <c r="B167" t="inlineStr">
        <is>
          <t>Atlas Industrial</t>
        </is>
      </c>
      <c r="C167" t="inlineStr">
        <is>
          <t>France &amp; Benelux</t>
        </is>
      </c>
      <c r="D167" t="inlineStr">
        <is>
          <t>Belgium</t>
        </is>
      </c>
      <c r="E167" t="inlineStr">
        <is>
          <t>C. Martin</t>
        </is>
      </c>
      <c r="F167" t="inlineStr">
        <is>
          <t>Smart home &amp; security</t>
        </is>
      </c>
      <c r="G167" t="inlineStr">
        <is>
          <t>LTE-M / NB-IoT</t>
        </is>
      </c>
      <c r="H167" t="inlineStr">
        <is>
          <t>Qualified</t>
        </is>
      </c>
      <c r="I167" t="n">
        <v>0.1</v>
      </c>
      <c r="J167" t="n">
        <v>50000</v>
      </c>
      <c r="K167" t="n">
        <v>5.57</v>
      </c>
      <c r="L167" t="n">
        <v>3</v>
      </c>
      <c r="M167" t="n">
        <v>278500</v>
      </c>
      <c r="N167" t="n">
        <v>835500</v>
      </c>
      <c r="O167" t="n">
        <v>83550</v>
      </c>
      <c r="P167" t="inlineStr">
        <is>
          <t>2026-09-21</t>
        </is>
      </c>
      <c r="Q167" t="inlineStr">
        <is>
          <t>2027-02-28</t>
        </is>
      </c>
      <c r="R167" t="n">
        <v>0</v>
      </c>
      <c r="S167" t="inlineStr">
        <is>
          <t>Price negotiation</t>
        </is>
      </c>
      <c r="T167" t="inlineStr">
        <is>
          <t>FAE referral</t>
        </is>
      </c>
      <c r="U167" t="inlineStr"/>
      <c r="V167">
        <f>IF(S167="",1,0)</f>
        <v/>
      </c>
      <c r="W167">
        <f>IF(J167="",1,0)</f>
        <v/>
      </c>
      <c r="X167">
        <f>IF(F167="",1,0)</f>
        <v/>
      </c>
      <c r="Y167">
        <f>IF(AND(AND(H167&lt;&gt;"Mass production",H167&lt;&gt;"Lost"),DATEVALUE(Q167)&lt;DATE(2026,10,20)),1,0)</f>
        <v/>
      </c>
      <c r="Z167">
        <f>IF(AND(AND(H167&lt;&gt;"Mass production",H167&lt;&gt;"Lost"),R167&gt;30),1,0)</f>
        <v/>
      </c>
      <c r="AA167">
        <f>IF(COUNTIFS($G$2:$G$247,G167,$F$2:$F$247,F167,$J$2:$J$247,J167,$K$2:$K$247,K167)&gt;1,1,0)</f>
        <v/>
      </c>
      <c r="AB167">
        <f>SUM(V167:AA167)</f>
        <v/>
      </c>
    </row>
    <row r="168">
      <c r="A168" t="inlineStr">
        <is>
          <t>OPP-26166</t>
        </is>
      </c>
      <c r="B168" t="inlineStr">
        <is>
          <t>Atlas Tracking</t>
        </is>
      </c>
      <c r="C168" t="inlineStr">
        <is>
          <t>DACH</t>
        </is>
      </c>
      <c r="D168" t="inlineStr">
        <is>
          <t>Switzerland</t>
        </is>
      </c>
      <c r="E168" t="inlineStr">
        <is>
          <t>J. Weber</t>
        </is>
      </c>
      <c r="F168" t="inlineStr">
        <is>
          <t>Smart home &amp; security</t>
        </is>
      </c>
      <c r="G168" t="inlineStr">
        <is>
          <t>5G RedCap</t>
        </is>
      </c>
      <c r="H168" t="inlineStr">
        <is>
          <t>Pilot</t>
        </is>
      </c>
      <c r="I168" t="n">
        <v>0.85</v>
      </c>
      <c r="J168" t="n">
        <v>8000</v>
      </c>
      <c r="K168" t="n">
        <v>39.05</v>
      </c>
      <c r="L168" t="n">
        <v>5</v>
      </c>
      <c r="M168" t="n">
        <v>312400</v>
      </c>
      <c r="N168" t="n">
        <v>1562000</v>
      </c>
      <c r="O168" t="n">
        <v>1327700</v>
      </c>
      <c r="P168" t="inlineStr">
        <is>
          <t>2025-08-04</t>
        </is>
      </c>
      <c r="Q168" t="inlineStr">
        <is>
          <t>2027-03-19</t>
        </is>
      </c>
      <c r="R168" t="n">
        <v>7</v>
      </c>
      <c r="S168" t="inlineStr"/>
      <c r="T168" t="inlineStr">
        <is>
          <t>Distributor</t>
        </is>
      </c>
      <c r="U168" t="inlineStr"/>
      <c r="V168">
        <f>IF(S168="",1,0)</f>
        <v/>
      </c>
      <c r="W168">
        <f>IF(J168="",1,0)</f>
        <v/>
      </c>
      <c r="X168">
        <f>IF(F168="",1,0)</f>
        <v/>
      </c>
      <c r="Y168">
        <f>IF(AND(AND(H168&lt;&gt;"Mass production",H168&lt;&gt;"Lost"),DATEVALUE(Q168)&lt;DATE(2026,10,20)),1,0)</f>
        <v/>
      </c>
      <c r="Z168">
        <f>IF(AND(AND(H168&lt;&gt;"Mass production",H168&lt;&gt;"Lost"),R168&gt;30),1,0)</f>
        <v/>
      </c>
      <c r="AA168">
        <f>IF(COUNTIFS($G$2:$G$247,G168,$F$2:$F$247,F168,$J$2:$J$247,J168,$K$2:$K$247,K168)&gt;1,1,0)</f>
        <v/>
      </c>
      <c r="AB168">
        <f>SUM(V168:AA168)</f>
        <v/>
      </c>
    </row>
    <row r="169">
      <c r="A169" t="inlineStr">
        <is>
          <t>OPP-26167</t>
        </is>
      </c>
      <c r="B169" t="inlineStr">
        <is>
          <t>Quorra Mobility</t>
        </is>
      </c>
      <c r="C169" t="inlineStr">
        <is>
          <t>France &amp; Benelux</t>
        </is>
      </c>
      <c r="D169" t="inlineStr">
        <is>
          <t>Netherlands</t>
        </is>
      </c>
      <c r="E169" t="inlineStr">
        <is>
          <t>C. Martin</t>
        </is>
      </c>
      <c r="F169" t="inlineStr">
        <is>
          <t>Automotive &amp; C-V2X</t>
        </is>
      </c>
      <c r="G169" t="inlineStr">
        <is>
          <t>5G eMBB</t>
        </is>
      </c>
      <c r="H169" t="inlineStr">
        <is>
          <t>Lost</t>
        </is>
      </c>
      <c r="I169" t="n">
        <v>0</v>
      </c>
      <c r="J169" t="n">
        <v>15000</v>
      </c>
      <c r="K169" t="n">
        <v>101.04</v>
      </c>
      <c r="L169" t="n">
        <v>4</v>
      </c>
      <c r="M169" t="n">
        <v>1515600</v>
      </c>
      <c r="N169" t="n">
        <v>6062400</v>
      </c>
      <c r="O169" t="n">
        <v>0</v>
      </c>
      <c r="P169" t="inlineStr">
        <is>
          <t>2025-10-31</t>
        </is>
      </c>
      <c r="Q169" t="inlineStr">
        <is>
          <t>2026-08-09</t>
        </is>
      </c>
      <c r="R169" t="n">
        <v>40</v>
      </c>
      <c r="S169" t="inlineStr">
        <is>
          <t>Quote revision</t>
        </is>
      </c>
      <c r="T169" t="inlineStr">
        <is>
          <t>Direct</t>
        </is>
      </c>
      <c r="U169" t="inlineStr">
        <is>
          <t>Certification timeline</t>
        </is>
      </c>
      <c r="V169">
        <f>IF(S169="",1,0)</f>
        <v/>
      </c>
      <c r="W169">
        <f>IF(J169="",1,0)</f>
        <v/>
      </c>
      <c r="X169">
        <f>IF(F169="",1,0)</f>
        <v/>
      </c>
      <c r="Y169">
        <f>IF(AND(AND(H169&lt;&gt;"Mass production",H169&lt;&gt;"Lost"),DATEVALUE(Q169)&lt;DATE(2026,10,20)),1,0)</f>
        <v/>
      </c>
      <c r="Z169">
        <f>IF(AND(AND(H169&lt;&gt;"Mass production",H169&lt;&gt;"Lost"),R169&gt;30),1,0)</f>
        <v/>
      </c>
      <c r="AA169">
        <f>IF(COUNTIFS($G$2:$G$247,G169,$F$2:$F$247,F169,$J$2:$J$247,J169,$K$2:$K$247,K169)&gt;1,1,0)</f>
        <v/>
      </c>
      <c r="AB169">
        <f>SUM(V169:AA169)</f>
        <v/>
      </c>
    </row>
    <row r="170">
      <c r="A170" t="inlineStr">
        <is>
          <t>OPP-26168</t>
        </is>
      </c>
      <c r="B170" t="inlineStr">
        <is>
          <t>Kestrel Tracking</t>
        </is>
      </c>
      <c r="C170" t="inlineStr">
        <is>
          <t>France &amp; Benelux</t>
        </is>
      </c>
      <c r="D170" t="inlineStr">
        <is>
          <t>Belgium</t>
        </is>
      </c>
      <c r="E170" t="inlineStr">
        <is>
          <t>B. de Vries</t>
        </is>
      </c>
      <c r="F170" t="inlineStr">
        <is>
          <t>Smart metering</t>
        </is>
      </c>
      <c r="G170" t="inlineStr">
        <is>
          <t>LTE Cat 1 bis</t>
        </is>
      </c>
      <c r="H170" t="inlineStr">
        <is>
          <t>Qualified</t>
        </is>
      </c>
      <c r="I170" t="n">
        <v>0.1</v>
      </c>
      <c r="J170" t="n">
        <v>8000</v>
      </c>
      <c r="K170" t="n">
        <v>10.88</v>
      </c>
      <c r="L170" t="n">
        <v>4</v>
      </c>
      <c r="M170" t="n">
        <v>87040</v>
      </c>
      <c r="N170" t="n">
        <v>348160</v>
      </c>
      <c r="O170" t="n">
        <v>34816</v>
      </c>
      <c r="P170" t="inlineStr">
        <is>
          <t>2025-11-19</t>
        </is>
      </c>
      <c r="Q170" t="inlineStr">
        <is>
          <t>2027-05-05</t>
        </is>
      </c>
      <c r="R170" t="n">
        <v>4</v>
      </c>
      <c r="S170" t="inlineStr">
        <is>
          <t>Certification plan</t>
        </is>
      </c>
      <c r="T170" t="inlineStr">
        <is>
          <t>Website</t>
        </is>
      </c>
      <c r="U170" t="inlineStr"/>
      <c r="V170">
        <f>IF(S170="",1,0)</f>
        <v/>
      </c>
      <c r="W170">
        <f>IF(J170="",1,0)</f>
        <v/>
      </c>
      <c r="X170">
        <f>IF(F170="",1,0)</f>
        <v/>
      </c>
      <c r="Y170">
        <f>IF(AND(AND(H170&lt;&gt;"Mass production",H170&lt;&gt;"Lost"),DATEVALUE(Q170)&lt;DATE(2026,10,20)),1,0)</f>
        <v/>
      </c>
      <c r="Z170">
        <f>IF(AND(AND(H170&lt;&gt;"Mass production",H170&lt;&gt;"Lost"),R170&gt;30),1,0)</f>
        <v/>
      </c>
      <c r="AA170">
        <f>IF(COUNTIFS($G$2:$G$247,G170,$F$2:$F$247,F170,$J$2:$J$247,J170,$K$2:$K$247,K170)&gt;1,1,0)</f>
        <v/>
      </c>
      <c r="AB170">
        <f>SUM(V170:AA170)</f>
        <v/>
      </c>
    </row>
    <row r="171">
      <c r="A171" t="inlineStr">
        <is>
          <t>OPP-26169</t>
        </is>
      </c>
      <c r="B171" t="inlineStr">
        <is>
          <t>Cedar Industrial</t>
        </is>
      </c>
      <c r="C171" t="inlineStr">
        <is>
          <t>France &amp; Benelux</t>
        </is>
      </c>
      <c r="D171" t="inlineStr">
        <is>
          <t>Netherlands</t>
        </is>
      </c>
      <c r="E171" t="inlineStr">
        <is>
          <t>C. Martin</t>
        </is>
      </c>
      <c r="F171" t="inlineStr">
        <is>
          <t>Automotive &amp; C-V2X</t>
        </is>
      </c>
      <c r="G171" t="inlineStr">
        <is>
          <t>LTE Cat 1 bis</t>
        </is>
      </c>
      <c r="H171" t="inlineStr">
        <is>
          <t>Pilot</t>
        </is>
      </c>
      <c r="I171" t="n">
        <v>0.85</v>
      </c>
      <c r="J171" t="n">
        <v>2000</v>
      </c>
      <c r="K171" t="n">
        <v>8.890000000000001</v>
      </c>
      <c r="L171" t="n">
        <v>3</v>
      </c>
      <c r="M171" t="n">
        <v>17780</v>
      </c>
      <c r="N171" t="n">
        <v>53340</v>
      </c>
      <c r="O171" t="n">
        <v>45339</v>
      </c>
      <c r="P171" t="inlineStr">
        <is>
          <t>2026-01-07</t>
        </is>
      </c>
      <c r="Q171" t="inlineStr">
        <is>
          <t>2026-12-08</t>
        </is>
      </c>
      <c r="R171" t="n">
        <v>0</v>
      </c>
      <c r="S171" t="inlineStr">
        <is>
          <t>Price negotiation</t>
        </is>
      </c>
      <c r="T171" t="inlineStr">
        <is>
          <t>Direct</t>
        </is>
      </c>
      <c r="U171" t="inlineStr"/>
      <c r="V171">
        <f>IF(S171="",1,0)</f>
        <v/>
      </c>
      <c r="W171">
        <f>IF(J171="",1,0)</f>
        <v/>
      </c>
      <c r="X171">
        <f>IF(F171="",1,0)</f>
        <v/>
      </c>
      <c r="Y171">
        <f>IF(AND(AND(H171&lt;&gt;"Mass production",H171&lt;&gt;"Lost"),DATEVALUE(Q171)&lt;DATE(2026,10,20)),1,0)</f>
        <v/>
      </c>
      <c r="Z171">
        <f>IF(AND(AND(H171&lt;&gt;"Mass production",H171&lt;&gt;"Lost"),R171&gt;30),1,0)</f>
        <v/>
      </c>
      <c r="AA171">
        <f>IF(COUNTIFS($G$2:$G$247,G171,$F$2:$F$247,F171,$J$2:$J$247,J171,$K$2:$K$247,K171)&gt;1,1,0)</f>
        <v/>
      </c>
      <c r="AB171">
        <f>SUM(V171:AA171)</f>
        <v/>
      </c>
    </row>
    <row r="172">
      <c r="A172" t="inlineStr">
        <is>
          <t>OPP-26170</t>
        </is>
      </c>
      <c r="B172" t="inlineStr">
        <is>
          <t>Arcturus Telematics</t>
        </is>
      </c>
      <c r="C172" t="inlineStr">
        <is>
          <t>UK &amp; Ireland</t>
        </is>
      </c>
      <c r="D172" t="inlineStr">
        <is>
          <t>Ireland</t>
        </is>
      </c>
      <c r="E172" t="inlineStr">
        <is>
          <t>S. Clarke</t>
        </is>
      </c>
      <c r="F172" t="inlineStr">
        <is>
          <t>POS &amp; payments</t>
        </is>
      </c>
      <c r="G172" t="inlineStr">
        <is>
          <t>Wi-Fi / Bluetooth</t>
        </is>
      </c>
      <c r="H172" t="inlineStr">
        <is>
          <t>Lead</t>
        </is>
      </c>
      <c r="I172" t="n">
        <v>0.05</v>
      </c>
      <c r="J172" t="n">
        <v>8000</v>
      </c>
      <c r="K172" t="n">
        <v>5.23</v>
      </c>
      <c r="L172" t="n">
        <v>3</v>
      </c>
      <c r="M172" t="n">
        <v>41840</v>
      </c>
      <c r="N172" t="n">
        <v>125520</v>
      </c>
      <c r="O172" t="n">
        <v>6276</v>
      </c>
      <c r="P172" t="inlineStr">
        <is>
          <t>2026-03-12</t>
        </is>
      </c>
      <c r="Q172" t="inlineStr">
        <is>
          <t>2027-11-05</t>
        </is>
      </c>
      <c r="R172" t="n">
        <v>26</v>
      </c>
      <c r="S172" t="inlineStr"/>
      <c r="T172" t="inlineStr">
        <is>
          <t>Direct</t>
        </is>
      </c>
      <c r="U172" t="inlineStr"/>
      <c r="V172">
        <f>IF(S172="",1,0)</f>
        <v/>
      </c>
      <c r="W172">
        <f>IF(J172="",1,0)</f>
        <v/>
      </c>
      <c r="X172">
        <f>IF(F172="",1,0)</f>
        <v/>
      </c>
      <c r="Y172">
        <f>IF(AND(AND(H172&lt;&gt;"Mass production",H172&lt;&gt;"Lost"),DATEVALUE(Q172)&lt;DATE(2026,10,20)),1,0)</f>
        <v/>
      </c>
      <c r="Z172">
        <f>IF(AND(AND(H172&lt;&gt;"Mass production",H172&lt;&gt;"Lost"),R172&gt;30),1,0)</f>
        <v/>
      </c>
      <c r="AA172">
        <f>IF(COUNTIFS($G$2:$G$247,G172,$F$2:$F$247,F172,$J$2:$J$247,J172,$K$2:$K$247,K172)&gt;1,1,0)</f>
        <v/>
      </c>
      <c r="AB172">
        <f>SUM(V172:AA172)</f>
        <v/>
      </c>
    </row>
    <row r="173">
      <c r="A173" t="inlineStr">
        <is>
          <t>OPP-26171</t>
        </is>
      </c>
      <c r="B173" t="inlineStr">
        <is>
          <t>Kestrel Telematics</t>
        </is>
      </c>
      <c r="C173" t="inlineStr">
        <is>
          <t>CEE</t>
        </is>
      </c>
      <c r="D173" t="inlineStr">
        <is>
          <t>Romania</t>
        </is>
      </c>
      <c r="E173" t="inlineStr">
        <is>
          <t>D. Jovanovic</t>
        </is>
      </c>
      <c r="F173" t="inlineStr">
        <is>
          <t>Telematics</t>
        </is>
      </c>
      <c r="G173" t="inlineStr">
        <is>
          <t>5G eMBB</t>
        </is>
      </c>
      <c r="H173" t="inlineStr">
        <is>
          <t>Design-in</t>
        </is>
      </c>
      <c r="I173" t="n">
        <v>0.4</v>
      </c>
      <c r="J173" t="n">
        <v>15000</v>
      </c>
      <c r="K173" t="n">
        <v>90.06</v>
      </c>
      <c r="L173" t="n">
        <v>2</v>
      </c>
      <c r="M173" t="n">
        <v>1350900</v>
      </c>
      <c r="N173" t="n">
        <v>2701800</v>
      </c>
      <c r="O173" t="n">
        <v>1080720</v>
      </c>
      <c r="P173" t="inlineStr">
        <is>
          <t>2026-08-18</t>
        </is>
      </c>
      <c r="Q173" t="inlineStr">
        <is>
          <t>2027-05-04</t>
        </is>
      </c>
      <c r="R173" t="n">
        <v>0</v>
      </c>
      <c r="S173" t="inlineStr">
        <is>
          <t>Send samples</t>
        </is>
      </c>
      <c r="T173" t="inlineStr">
        <is>
          <t>Distributor</t>
        </is>
      </c>
      <c r="U173" t="inlineStr"/>
      <c r="V173">
        <f>IF(S173="",1,0)</f>
        <v/>
      </c>
      <c r="W173">
        <f>IF(J173="",1,0)</f>
        <v/>
      </c>
      <c r="X173">
        <f>IF(F173="",1,0)</f>
        <v/>
      </c>
      <c r="Y173">
        <f>IF(AND(AND(H173&lt;&gt;"Mass production",H173&lt;&gt;"Lost"),DATEVALUE(Q173)&lt;DATE(2026,10,20)),1,0)</f>
        <v/>
      </c>
      <c r="Z173">
        <f>IF(AND(AND(H173&lt;&gt;"Mass production",H173&lt;&gt;"Lost"),R173&gt;30),1,0)</f>
        <v/>
      </c>
      <c r="AA173">
        <f>IF(COUNTIFS($G$2:$G$247,G173,$F$2:$F$247,F173,$J$2:$J$247,J173,$K$2:$K$247,K173)&gt;1,1,0)</f>
        <v/>
      </c>
      <c r="AB173">
        <f>SUM(V173:AA173)</f>
        <v/>
      </c>
    </row>
    <row r="174">
      <c r="A174" t="inlineStr">
        <is>
          <t>OPP-26172</t>
        </is>
      </c>
      <c r="B174" t="inlineStr">
        <is>
          <t>Kestrel Health</t>
        </is>
      </c>
      <c r="C174" t="inlineStr">
        <is>
          <t>CEE</t>
        </is>
      </c>
      <c r="D174" t="inlineStr">
        <is>
          <t>Hungary</t>
        </is>
      </c>
      <c r="E174" t="inlineStr">
        <is>
          <t>D. Jovanovic</t>
        </is>
      </c>
      <c r="F174" t="inlineStr">
        <is>
          <t>Telematics</t>
        </is>
      </c>
      <c r="G174" t="inlineStr">
        <is>
          <t>5G eMBB</t>
        </is>
      </c>
      <c r="H174" t="inlineStr">
        <is>
          <t>Qualified</t>
        </is>
      </c>
      <c r="I174" t="n">
        <v>0.1</v>
      </c>
      <c r="J174" t="n">
        <v>30000</v>
      </c>
      <c r="K174" t="n">
        <v>100.12</v>
      </c>
      <c r="L174" t="n">
        <v>3</v>
      </c>
      <c r="M174" t="n">
        <v>3003600</v>
      </c>
      <c r="N174" t="n">
        <v>9010800</v>
      </c>
      <c r="O174" t="n">
        <v>901080</v>
      </c>
      <c r="P174" t="inlineStr">
        <is>
          <t>2026-08-26</t>
        </is>
      </c>
      <c r="Q174" t="inlineStr">
        <is>
          <t>2027-07-21</t>
        </is>
      </c>
      <c r="R174" t="n">
        <v>9</v>
      </c>
      <c r="S174" t="inlineStr">
        <is>
          <t>Send samples</t>
        </is>
      </c>
      <c r="T174" t="inlineStr">
        <is>
          <t>Direct</t>
        </is>
      </c>
      <c r="U174" t="inlineStr"/>
      <c r="V174">
        <f>IF(S174="",1,0)</f>
        <v/>
      </c>
      <c r="W174">
        <f>IF(J174="",1,0)</f>
        <v/>
      </c>
      <c r="X174">
        <f>IF(F174="",1,0)</f>
        <v/>
      </c>
      <c r="Y174">
        <f>IF(AND(AND(H174&lt;&gt;"Mass production",H174&lt;&gt;"Lost"),DATEVALUE(Q174)&lt;DATE(2026,10,20)),1,0)</f>
        <v/>
      </c>
      <c r="Z174">
        <f>IF(AND(AND(H174&lt;&gt;"Mass production",H174&lt;&gt;"Lost"),R174&gt;30),1,0)</f>
        <v/>
      </c>
      <c r="AA174">
        <f>IF(COUNTIFS($G$2:$G$247,G174,$F$2:$F$247,F174,$J$2:$J$247,J174,$K$2:$K$247,K174)&gt;1,1,0)</f>
        <v/>
      </c>
      <c r="AB174">
        <f>SUM(V174:AA174)</f>
        <v/>
      </c>
    </row>
    <row r="175">
      <c r="A175" t="inlineStr">
        <is>
          <t>OPP-26173</t>
        </is>
      </c>
      <c r="B175" t="inlineStr">
        <is>
          <t>Stellar Energy</t>
        </is>
      </c>
      <c r="C175" t="inlineStr">
        <is>
          <t>Middle East &amp; Africa</t>
        </is>
      </c>
      <c r="D175" t="inlineStr">
        <is>
          <t>South Africa</t>
        </is>
      </c>
      <c r="E175" t="inlineStr">
        <is>
          <t>O. Demir</t>
        </is>
      </c>
      <c r="F175" t="inlineStr"/>
      <c r="G175" t="inlineStr">
        <is>
          <t>Wi-Fi / Bluetooth</t>
        </is>
      </c>
      <c r="H175" t="inlineStr">
        <is>
          <t>Qualified</t>
        </is>
      </c>
      <c r="I175" t="n">
        <v>0.1</v>
      </c>
      <c r="J175" t="n">
        <v>50000</v>
      </c>
      <c r="K175" t="n">
        <v>4.34</v>
      </c>
      <c r="L175" t="n">
        <v>2</v>
      </c>
      <c r="M175" t="n">
        <v>217000</v>
      </c>
      <c r="N175" t="n">
        <v>434000</v>
      </c>
      <c r="O175" t="n">
        <v>43400</v>
      </c>
      <c r="P175" t="inlineStr">
        <is>
          <t>2025-09-04</t>
        </is>
      </c>
      <c r="Q175" t="inlineStr">
        <is>
          <t>2027-10-15</t>
        </is>
      </c>
      <c r="R175" t="n">
        <v>11</v>
      </c>
      <c r="S175" t="inlineStr">
        <is>
          <t>Forecast confirmation</t>
        </is>
      </c>
      <c r="T175" t="inlineStr">
        <is>
          <t>Distributor</t>
        </is>
      </c>
      <c r="U175" t="inlineStr"/>
      <c r="V175">
        <f>IF(S175="",1,0)</f>
        <v/>
      </c>
      <c r="W175">
        <f>IF(J175="",1,0)</f>
        <v/>
      </c>
      <c r="X175">
        <f>IF(F175="",1,0)</f>
        <v/>
      </c>
      <c r="Y175">
        <f>IF(AND(AND(H175&lt;&gt;"Mass production",H175&lt;&gt;"Lost"),DATEVALUE(Q175)&lt;DATE(2026,10,20)),1,0)</f>
        <v/>
      </c>
      <c r="Z175">
        <f>IF(AND(AND(H175&lt;&gt;"Mass production",H175&lt;&gt;"Lost"),R175&gt;30),1,0)</f>
        <v/>
      </c>
      <c r="AA175">
        <f>IF(COUNTIFS($G$2:$G$247,G175,$F$2:$F$247,F175,$J$2:$J$247,J175,$K$2:$K$247,K175)&gt;1,1,0)</f>
        <v/>
      </c>
      <c r="AB175">
        <f>SUM(V175:AA175)</f>
        <v/>
      </c>
    </row>
    <row r="176">
      <c r="A176" t="inlineStr">
        <is>
          <t>OPP-26174</t>
        </is>
      </c>
      <c r="B176" t="inlineStr">
        <is>
          <t>Meridian Electronics</t>
        </is>
      </c>
      <c r="C176" t="inlineStr">
        <is>
          <t>CEE</t>
        </is>
      </c>
      <c r="D176" t="inlineStr">
        <is>
          <t>Serbia</t>
        </is>
      </c>
      <c r="E176" t="inlineStr">
        <is>
          <t>K. Nowak</t>
        </is>
      </c>
      <c r="F176" t="inlineStr">
        <is>
          <t>POS &amp; payments</t>
        </is>
      </c>
      <c r="G176" t="inlineStr">
        <is>
          <t>5G RedCap</t>
        </is>
      </c>
      <c r="H176" t="inlineStr">
        <is>
          <t>Design-win</t>
        </is>
      </c>
      <c r="I176" t="n">
        <v>0.7</v>
      </c>
      <c r="J176" t="n">
        <v>10000</v>
      </c>
      <c r="K176" t="n">
        <v>59.5</v>
      </c>
      <c r="L176" t="n">
        <v>2</v>
      </c>
      <c r="M176" t="n">
        <v>595000</v>
      </c>
      <c r="N176" t="n">
        <v>1190000</v>
      </c>
      <c r="O176" t="n">
        <v>833000</v>
      </c>
      <c r="P176" t="inlineStr">
        <is>
          <t>2025-06-04</t>
        </is>
      </c>
      <c r="Q176" t="inlineStr">
        <is>
          <t>2027-06-08</t>
        </is>
      </c>
      <c r="R176" t="n">
        <v>5</v>
      </c>
      <c r="S176" t="inlineStr">
        <is>
          <t>Send samples</t>
        </is>
      </c>
      <c r="T176" t="inlineStr">
        <is>
          <t>Tradeshow</t>
        </is>
      </c>
      <c r="U176" t="inlineStr"/>
      <c r="V176">
        <f>IF(S176="",1,0)</f>
        <v/>
      </c>
      <c r="W176">
        <f>IF(J176="",1,0)</f>
        <v/>
      </c>
      <c r="X176">
        <f>IF(F176="",1,0)</f>
        <v/>
      </c>
      <c r="Y176">
        <f>IF(AND(AND(H176&lt;&gt;"Mass production",H176&lt;&gt;"Lost"),DATEVALUE(Q176)&lt;DATE(2026,10,20)),1,0)</f>
        <v/>
      </c>
      <c r="Z176">
        <f>IF(AND(AND(H176&lt;&gt;"Mass production",H176&lt;&gt;"Lost"),R176&gt;30),1,0)</f>
        <v/>
      </c>
      <c r="AA176">
        <f>IF(COUNTIFS($G$2:$G$247,G176,$F$2:$F$247,F176,$J$2:$J$247,J176,$K$2:$K$247,K176)&gt;1,1,0)</f>
        <v/>
      </c>
      <c r="AB176">
        <f>SUM(V176:AA176)</f>
        <v/>
      </c>
    </row>
    <row r="177">
      <c r="A177" t="inlineStr">
        <is>
          <t>OPP-26175</t>
        </is>
      </c>
      <c r="B177" t="inlineStr">
        <is>
          <t>Iberix Electronics</t>
        </is>
      </c>
      <c r="C177" t="inlineStr">
        <is>
          <t>Middle East &amp; Africa</t>
        </is>
      </c>
      <c r="D177" t="inlineStr">
        <is>
          <t>UAE</t>
        </is>
      </c>
      <c r="E177" t="inlineStr">
        <is>
          <t>O. Demir</t>
        </is>
      </c>
      <c r="F177" t="inlineStr">
        <is>
          <t>Asset tracking</t>
        </is>
      </c>
      <c r="G177" t="inlineStr">
        <is>
          <t>Wi-Fi / Bluetooth</t>
        </is>
      </c>
      <c r="H177" t="inlineStr">
        <is>
          <t>Mass production</t>
        </is>
      </c>
      <c r="I177" t="n">
        <v>1</v>
      </c>
      <c r="J177" t="n">
        <v>5000</v>
      </c>
      <c r="K177" t="n">
        <v>3.86</v>
      </c>
      <c r="L177" t="n">
        <v>3</v>
      </c>
      <c r="M177" t="n">
        <v>19300</v>
      </c>
      <c r="N177" t="n">
        <v>57900</v>
      </c>
      <c r="O177" t="n">
        <v>57900</v>
      </c>
      <c r="P177" t="inlineStr">
        <is>
          <t>2026-01-31</t>
        </is>
      </c>
      <c r="Q177" t="inlineStr">
        <is>
          <t>2026-09-24</t>
        </is>
      </c>
      <c r="R177" t="n">
        <v>11</v>
      </c>
      <c r="S177" t="inlineStr">
        <is>
          <t>Certification plan</t>
        </is>
      </c>
      <c r="T177" t="inlineStr">
        <is>
          <t>Website</t>
        </is>
      </c>
      <c r="U177" t="inlineStr"/>
      <c r="V177">
        <f>IF(S177="",1,0)</f>
        <v/>
      </c>
      <c r="W177">
        <f>IF(J177="",1,0)</f>
        <v/>
      </c>
      <c r="X177">
        <f>IF(F177="",1,0)</f>
        <v/>
      </c>
      <c r="Y177">
        <f>IF(AND(AND(H177&lt;&gt;"Mass production",H177&lt;&gt;"Lost"),DATEVALUE(Q177)&lt;DATE(2026,10,20)),1,0)</f>
        <v/>
      </c>
      <c r="Z177">
        <f>IF(AND(AND(H177&lt;&gt;"Mass production",H177&lt;&gt;"Lost"),R177&gt;30),1,0)</f>
        <v/>
      </c>
      <c r="AA177">
        <f>IF(COUNTIFS($G$2:$G$247,G177,$F$2:$F$247,F177,$J$2:$J$247,J177,$K$2:$K$247,K177)&gt;1,1,0)</f>
        <v/>
      </c>
      <c r="AB177">
        <f>SUM(V177:AA177)</f>
        <v/>
      </c>
    </row>
    <row r="178">
      <c r="A178" t="inlineStr">
        <is>
          <t>OPP-26176</t>
        </is>
      </c>
      <c r="B178" t="inlineStr">
        <is>
          <t>Ferro Labs</t>
        </is>
      </c>
      <c r="C178" t="inlineStr">
        <is>
          <t>DACH</t>
        </is>
      </c>
      <c r="D178" t="inlineStr">
        <is>
          <t>Austria</t>
        </is>
      </c>
      <c r="E178" t="inlineStr">
        <is>
          <t>L. Hoffmann</t>
        </is>
      </c>
      <c r="F178" t="inlineStr"/>
      <c r="G178" t="inlineStr">
        <is>
          <t>5G eMBB</t>
        </is>
      </c>
      <c r="H178" t="inlineStr">
        <is>
          <t>Design-in</t>
        </is>
      </c>
      <c r="I178" t="n">
        <v>0.4</v>
      </c>
      <c r="J178" t="n">
        <v>3000</v>
      </c>
      <c r="K178" t="n">
        <v>111.97</v>
      </c>
      <c r="L178" t="n">
        <v>2</v>
      </c>
      <c r="M178" t="n">
        <v>335910</v>
      </c>
      <c r="N178" t="n">
        <v>671820</v>
      </c>
      <c r="O178" t="n">
        <v>268728</v>
      </c>
      <c r="P178" t="inlineStr">
        <is>
          <t>2026-02-04</t>
        </is>
      </c>
      <c r="Q178" t="inlineStr">
        <is>
          <t>2027-07-15</t>
        </is>
      </c>
      <c r="R178" t="n">
        <v>3</v>
      </c>
      <c r="S178" t="inlineStr">
        <is>
          <t>Quote revision</t>
        </is>
      </c>
      <c r="T178" t="inlineStr">
        <is>
          <t>Direct</t>
        </is>
      </c>
      <c r="U178" t="inlineStr"/>
      <c r="V178">
        <f>IF(S178="",1,0)</f>
        <v/>
      </c>
      <c r="W178">
        <f>IF(J178="",1,0)</f>
        <v/>
      </c>
      <c r="X178">
        <f>IF(F178="",1,0)</f>
        <v/>
      </c>
      <c r="Y178">
        <f>IF(AND(AND(H178&lt;&gt;"Mass production",H178&lt;&gt;"Lost"),DATEVALUE(Q178)&lt;DATE(2026,10,20)),1,0)</f>
        <v/>
      </c>
      <c r="Z178">
        <f>IF(AND(AND(H178&lt;&gt;"Mass production",H178&lt;&gt;"Lost"),R178&gt;30),1,0)</f>
        <v/>
      </c>
      <c r="AA178">
        <f>IF(COUNTIFS($G$2:$G$247,G178,$F$2:$F$247,F178,$J$2:$J$247,J178,$K$2:$K$247,K178)&gt;1,1,0)</f>
        <v/>
      </c>
      <c r="AB178">
        <f>SUM(V178:AA178)</f>
        <v/>
      </c>
    </row>
    <row r="179">
      <c r="A179" t="inlineStr">
        <is>
          <t>OPP-26177</t>
        </is>
      </c>
      <c r="B179" t="inlineStr">
        <is>
          <t>Arcturus Metering</t>
        </is>
      </c>
      <c r="C179" t="inlineStr">
        <is>
          <t>DACH</t>
        </is>
      </c>
      <c r="D179" t="inlineStr">
        <is>
          <t>Switzerland</t>
        </is>
      </c>
      <c r="E179" t="inlineStr">
        <is>
          <t>L. Hoffmann</t>
        </is>
      </c>
      <c r="F179" t="inlineStr">
        <is>
          <t>Automotive &amp; C-V2X</t>
        </is>
      </c>
      <c r="G179" t="inlineStr">
        <is>
          <t>5G eMBB</t>
        </is>
      </c>
      <c r="H179" t="inlineStr">
        <is>
          <t>Lead</t>
        </is>
      </c>
      <c r="I179" t="n">
        <v>0.05</v>
      </c>
      <c r="J179" t="n">
        <v>5000</v>
      </c>
      <c r="K179" t="n">
        <v>117.26</v>
      </c>
      <c r="L179" t="n">
        <v>2</v>
      </c>
      <c r="M179" t="n">
        <v>586300</v>
      </c>
      <c r="N179" t="n">
        <v>1172600</v>
      </c>
      <c r="O179" t="n">
        <v>58630</v>
      </c>
      <c r="P179" t="inlineStr">
        <is>
          <t>2025-04-10</t>
        </is>
      </c>
      <c r="Q179" t="inlineStr">
        <is>
          <t>2026-09-20</t>
        </is>
      </c>
      <c r="R179" t="n">
        <v>17</v>
      </c>
      <c r="S179" t="inlineStr">
        <is>
          <t>Forecast confirmation</t>
        </is>
      </c>
      <c r="T179" t="inlineStr">
        <is>
          <t>Direct</t>
        </is>
      </c>
      <c r="U179" t="inlineStr"/>
      <c r="V179">
        <f>IF(S179="",1,0)</f>
        <v/>
      </c>
      <c r="W179">
        <f>IF(J179="",1,0)</f>
        <v/>
      </c>
      <c r="X179">
        <f>IF(F179="",1,0)</f>
        <v/>
      </c>
      <c r="Y179">
        <f>IF(AND(AND(H179&lt;&gt;"Mass production",H179&lt;&gt;"Lost"),DATEVALUE(Q179)&lt;DATE(2026,10,20)),1,0)</f>
        <v/>
      </c>
      <c r="Z179">
        <f>IF(AND(AND(H179&lt;&gt;"Mass production",H179&lt;&gt;"Lost"),R179&gt;30),1,0)</f>
        <v/>
      </c>
      <c r="AA179">
        <f>IF(COUNTIFS($G$2:$G$247,G179,$F$2:$F$247,F179,$J$2:$J$247,J179,$K$2:$K$247,K179)&gt;1,1,0)</f>
        <v/>
      </c>
      <c r="AB179">
        <f>SUM(V179:AA179)</f>
        <v/>
      </c>
    </row>
    <row r="180">
      <c r="A180" t="inlineStr">
        <is>
          <t>OPP-26178</t>
        </is>
      </c>
      <c r="B180" t="inlineStr">
        <is>
          <t>Atlas Energy</t>
        </is>
      </c>
      <c r="C180" t="inlineStr">
        <is>
          <t>DACH</t>
        </is>
      </c>
      <c r="D180" t="inlineStr">
        <is>
          <t>Germany</t>
        </is>
      </c>
      <c r="E180" t="inlineStr">
        <is>
          <t>J. Weber</t>
        </is>
      </c>
      <c r="F180" t="inlineStr"/>
      <c r="G180" t="inlineStr">
        <is>
          <t>Wi-Fi / Bluetooth</t>
        </is>
      </c>
      <c r="H180" t="inlineStr">
        <is>
          <t>Lost</t>
        </is>
      </c>
      <c r="I180" t="n">
        <v>0</v>
      </c>
      <c r="J180" t="n">
        <v>30000</v>
      </c>
      <c r="K180" t="n">
        <v>4.74</v>
      </c>
      <c r="L180" t="n">
        <v>3</v>
      </c>
      <c r="M180" t="n">
        <v>142200</v>
      </c>
      <c r="N180" t="n">
        <v>426600</v>
      </c>
      <c r="O180" t="n">
        <v>0</v>
      </c>
      <c r="P180" t="inlineStr">
        <is>
          <t>2026-04-05</t>
        </is>
      </c>
      <c r="Q180" t="inlineStr">
        <is>
          <t>2026-09-27</t>
        </is>
      </c>
      <c r="R180" t="n">
        <v>26</v>
      </c>
      <c r="S180" t="inlineStr">
        <is>
          <t>Pilot build follow-up</t>
        </is>
      </c>
      <c r="T180" t="inlineStr">
        <is>
          <t>Tradeshow</t>
        </is>
      </c>
      <c r="U180" t="inlineStr">
        <is>
          <t>Project cancelled</t>
        </is>
      </c>
      <c r="V180">
        <f>IF(S180="",1,0)</f>
        <v/>
      </c>
      <c r="W180">
        <f>IF(J180="",1,0)</f>
        <v/>
      </c>
      <c r="X180">
        <f>IF(F180="",1,0)</f>
        <v/>
      </c>
      <c r="Y180">
        <f>IF(AND(AND(H180&lt;&gt;"Mass production",H180&lt;&gt;"Lost"),DATEVALUE(Q180)&lt;DATE(2026,10,20)),1,0)</f>
        <v/>
      </c>
      <c r="Z180">
        <f>IF(AND(AND(H180&lt;&gt;"Mass production",H180&lt;&gt;"Lost"),R180&gt;30),1,0)</f>
        <v/>
      </c>
      <c r="AA180">
        <f>IF(COUNTIFS($G$2:$G$247,G180,$F$2:$F$247,F180,$J$2:$J$247,J180,$K$2:$K$247,K180)&gt;1,1,0)</f>
        <v/>
      </c>
      <c r="AB180">
        <f>SUM(V180:AA180)</f>
        <v/>
      </c>
    </row>
    <row r="181">
      <c r="A181" t="inlineStr">
        <is>
          <t>OPP-26179</t>
        </is>
      </c>
      <c r="B181" t="inlineStr">
        <is>
          <t>Atlas Energy</t>
        </is>
      </c>
      <c r="C181" t="inlineStr">
        <is>
          <t>DACH</t>
        </is>
      </c>
      <c r="D181" t="inlineStr">
        <is>
          <t>Germany</t>
        </is>
      </c>
      <c r="E181" t="inlineStr">
        <is>
          <t>J. Weber</t>
        </is>
      </c>
      <c r="F181" t="inlineStr">
        <is>
          <t>Telematics</t>
        </is>
      </c>
      <c r="G181" t="inlineStr">
        <is>
          <t>Smart module</t>
        </is>
      </c>
      <c r="H181" t="inlineStr">
        <is>
          <t>Lead</t>
        </is>
      </c>
      <c r="I181" t="n">
        <v>0.05</v>
      </c>
      <c r="J181" t="inlineStr"/>
      <c r="K181" t="n">
        <v>92.43000000000001</v>
      </c>
      <c r="L181" t="n">
        <v>5</v>
      </c>
      <c r="M181" t="n">
        <v>0</v>
      </c>
      <c r="N181" t="n">
        <v>0</v>
      </c>
      <c r="O181" t="n">
        <v>0</v>
      </c>
      <c r="P181" t="inlineStr">
        <is>
          <t>2026-08-28</t>
        </is>
      </c>
      <c r="Q181" t="inlineStr">
        <is>
          <t>2026-12-12</t>
        </is>
      </c>
      <c r="R181" t="n">
        <v>9</v>
      </c>
      <c r="S181" t="inlineStr">
        <is>
          <t>Quote revision</t>
        </is>
      </c>
      <c r="T181" t="inlineStr">
        <is>
          <t>Direct</t>
        </is>
      </c>
      <c r="U181" t="inlineStr"/>
      <c r="V181">
        <f>IF(S181="",1,0)</f>
        <v/>
      </c>
      <c r="W181">
        <f>IF(J181="",1,0)</f>
        <v/>
      </c>
      <c r="X181">
        <f>IF(F181="",1,0)</f>
        <v/>
      </c>
      <c r="Y181">
        <f>IF(AND(AND(H181&lt;&gt;"Mass production",H181&lt;&gt;"Lost"),DATEVALUE(Q181)&lt;DATE(2026,10,20)),1,0)</f>
        <v/>
      </c>
      <c r="Z181">
        <f>IF(AND(AND(H181&lt;&gt;"Mass production",H181&lt;&gt;"Lost"),R181&gt;30),1,0)</f>
        <v/>
      </c>
      <c r="AA181">
        <f>IF(COUNTIFS($G$2:$G$247,G181,$F$2:$F$247,F181,$J$2:$J$247,J181,$K$2:$K$247,K181)&gt;1,1,0)</f>
        <v/>
      </c>
      <c r="AB181">
        <f>SUM(V181:AA181)</f>
        <v/>
      </c>
    </row>
    <row r="182">
      <c r="A182" t="inlineStr">
        <is>
          <t>OPP-26180</t>
        </is>
      </c>
      <c r="B182" t="inlineStr">
        <is>
          <t>Zenit Industrial</t>
        </is>
      </c>
      <c r="C182" t="inlineStr">
        <is>
          <t>Middle East &amp; Africa</t>
        </is>
      </c>
      <c r="D182" t="inlineStr">
        <is>
          <t>UAE</t>
        </is>
      </c>
      <c r="E182" t="inlineStr">
        <is>
          <t>O. Demir</t>
        </is>
      </c>
      <c r="F182" t="inlineStr">
        <is>
          <t>Automotive &amp; C-V2X</t>
        </is>
      </c>
      <c r="G182" t="inlineStr">
        <is>
          <t>5G eMBB</t>
        </is>
      </c>
      <c r="H182" t="inlineStr">
        <is>
          <t>Lost</t>
        </is>
      </c>
      <c r="I182" t="n">
        <v>0</v>
      </c>
      <c r="J182" t="n">
        <v>3000</v>
      </c>
      <c r="K182" t="n">
        <v>119.99</v>
      </c>
      <c r="L182" t="n">
        <v>3</v>
      </c>
      <c r="M182" t="n">
        <v>359970</v>
      </c>
      <c r="N182" t="n">
        <v>1079910</v>
      </c>
      <c r="O182" t="n">
        <v>0</v>
      </c>
      <c r="P182" t="inlineStr">
        <is>
          <t>2025-06-30</t>
        </is>
      </c>
      <c r="Q182" t="inlineStr">
        <is>
          <t>2025-11-02</t>
        </is>
      </c>
      <c r="R182" t="n">
        <v>3</v>
      </c>
      <c r="S182" t="inlineStr">
        <is>
          <t>Send samples</t>
        </is>
      </c>
      <c r="T182" t="inlineStr">
        <is>
          <t>Direct</t>
        </is>
      </c>
      <c r="U182" t="inlineStr">
        <is>
          <t>Certification timeline</t>
        </is>
      </c>
      <c r="V182">
        <f>IF(S182="",1,0)</f>
        <v/>
      </c>
      <c r="W182">
        <f>IF(J182="",1,0)</f>
        <v/>
      </c>
      <c r="X182">
        <f>IF(F182="",1,0)</f>
        <v/>
      </c>
      <c r="Y182">
        <f>IF(AND(AND(H182&lt;&gt;"Mass production",H182&lt;&gt;"Lost"),DATEVALUE(Q182)&lt;DATE(2026,10,20)),1,0)</f>
        <v/>
      </c>
      <c r="Z182">
        <f>IF(AND(AND(H182&lt;&gt;"Mass production",H182&lt;&gt;"Lost"),R182&gt;30),1,0)</f>
        <v/>
      </c>
      <c r="AA182">
        <f>IF(COUNTIFS($G$2:$G$247,G182,$F$2:$F$247,F182,$J$2:$J$247,J182,$K$2:$K$247,K182)&gt;1,1,0)</f>
        <v/>
      </c>
      <c r="AB182">
        <f>SUM(V182:AA182)</f>
        <v/>
      </c>
    </row>
    <row r="183">
      <c r="A183" t="inlineStr">
        <is>
          <t>OPP-26181</t>
        </is>
      </c>
      <c r="B183" t="inlineStr">
        <is>
          <t>Vector Metering</t>
        </is>
      </c>
      <c r="C183" t="inlineStr">
        <is>
          <t>DACH</t>
        </is>
      </c>
      <c r="D183" t="inlineStr">
        <is>
          <t>Germany</t>
        </is>
      </c>
      <c r="E183" t="inlineStr">
        <is>
          <t>J. Weber</t>
        </is>
      </c>
      <c r="F183" t="inlineStr">
        <is>
          <t>POS &amp; payments</t>
        </is>
      </c>
      <c r="G183" t="inlineStr">
        <is>
          <t>LTE-M / NB-IoT</t>
        </is>
      </c>
      <c r="H183" t="inlineStr">
        <is>
          <t>Lost</t>
        </is>
      </c>
      <c r="I183" t="n">
        <v>0</v>
      </c>
      <c r="J183" t="inlineStr"/>
      <c r="K183" t="n">
        <v>8.15</v>
      </c>
      <c r="L183" t="n">
        <v>5</v>
      </c>
      <c r="M183" t="n">
        <v>0</v>
      </c>
      <c r="N183" t="n">
        <v>0</v>
      </c>
      <c r="O183" t="n">
        <v>0</v>
      </c>
      <c r="P183" t="inlineStr">
        <is>
          <t>2025-09-11</t>
        </is>
      </c>
      <c r="Q183" t="inlineStr">
        <is>
          <t>2026-03-01</t>
        </is>
      </c>
      <c r="R183" t="n">
        <v>7</v>
      </c>
      <c r="S183" t="inlineStr">
        <is>
          <t>Send samples</t>
        </is>
      </c>
      <c r="T183" t="inlineStr">
        <is>
          <t>Direct</t>
        </is>
      </c>
      <c r="U183" t="inlineStr">
        <is>
          <t>Price</t>
        </is>
      </c>
      <c r="V183">
        <f>IF(S183="",1,0)</f>
        <v/>
      </c>
      <c r="W183">
        <f>IF(J183="",1,0)</f>
        <v/>
      </c>
      <c r="X183">
        <f>IF(F183="",1,0)</f>
        <v/>
      </c>
      <c r="Y183">
        <f>IF(AND(AND(H183&lt;&gt;"Mass production",H183&lt;&gt;"Lost"),DATEVALUE(Q183)&lt;DATE(2026,10,20)),1,0)</f>
        <v/>
      </c>
      <c r="Z183">
        <f>IF(AND(AND(H183&lt;&gt;"Mass production",H183&lt;&gt;"Lost"),R183&gt;30),1,0)</f>
        <v/>
      </c>
      <c r="AA183">
        <f>IF(COUNTIFS($G$2:$G$247,G183,$F$2:$F$247,F183,$J$2:$J$247,J183,$K$2:$K$247,K183)&gt;1,1,0)</f>
        <v/>
      </c>
      <c r="AB183">
        <f>SUM(V183:AA183)</f>
        <v/>
      </c>
    </row>
    <row r="184">
      <c r="A184" t="inlineStr">
        <is>
          <t>OPP-26182</t>
        </is>
      </c>
      <c r="B184" t="inlineStr">
        <is>
          <t>Vector Metering</t>
        </is>
      </c>
      <c r="C184" t="inlineStr">
        <is>
          <t>DACH</t>
        </is>
      </c>
      <c r="D184" t="inlineStr">
        <is>
          <t>Germany</t>
        </is>
      </c>
      <c r="E184" t="inlineStr">
        <is>
          <t>L. Hoffmann</t>
        </is>
      </c>
      <c r="F184" t="inlineStr">
        <is>
          <t>Asset tracking</t>
        </is>
      </c>
      <c r="G184" t="inlineStr">
        <is>
          <t>5G eMBB</t>
        </is>
      </c>
      <c r="H184" t="inlineStr">
        <is>
          <t>Lost</t>
        </is>
      </c>
      <c r="I184" t="n">
        <v>0</v>
      </c>
      <c r="J184" t="n">
        <v>50000</v>
      </c>
      <c r="K184" t="n">
        <v>125.26</v>
      </c>
      <c r="L184" t="n">
        <v>2</v>
      </c>
      <c r="M184" t="n">
        <v>6263000</v>
      </c>
      <c r="N184" t="n">
        <v>12526000</v>
      </c>
      <c r="O184" t="n">
        <v>0</v>
      </c>
      <c r="P184" t="inlineStr">
        <is>
          <t>2025-10-19</t>
        </is>
      </c>
      <c r="Q184" t="inlineStr">
        <is>
          <t>2026-09-27</t>
        </is>
      </c>
      <c r="R184" t="n">
        <v>0</v>
      </c>
      <c r="S184" t="inlineStr">
        <is>
          <t>Send samples</t>
        </is>
      </c>
      <c r="T184" t="inlineStr">
        <is>
          <t>Direct</t>
        </is>
      </c>
      <c r="U184" t="inlineStr">
        <is>
          <t>Competitor module</t>
        </is>
      </c>
      <c r="V184">
        <f>IF(S184="",1,0)</f>
        <v/>
      </c>
      <c r="W184">
        <f>IF(J184="",1,0)</f>
        <v/>
      </c>
      <c r="X184">
        <f>IF(F184="",1,0)</f>
        <v/>
      </c>
      <c r="Y184">
        <f>IF(AND(AND(H184&lt;&gt;"Mass production",H184&lt;&gt;"Lost"),DATEVALUE(Q184)&lt;DATE(2026,10,20)),1,0)</f>
        <v/>
      </c>
      <c r="Z184">
        <f>IF(AND(AND(H184&lt;&gt;"Mass production",H184&lt;&gt;"Lost"),R184&gt;30),1,0)</f>
        <v/>
      </c>
      <c r="AA184">
        <f>IF(COUNTIFS($G$2:$G$247,G184,$F$2:$F$247,F184,$J$2:$J$247,J184,$K$2:$K$247,K184)&gt;1,1,0)</f>
        <v/>
      </c>
      <c r="AB184">
        <f>SUM(V184:AA184)</f>
        <v/>
      </c>
    </row>
    <row r="185">
      <c r="A185" t="inlineStr">
        <is>
          <t>OPP-26183</t>
        </is>
      </c>
      <c r="B185" t="inlineStr">
        <is>
          <t>Kestrel Tracking</t>
        </is>
      </c>
      <c r="C185" t="inlineStr">
        <is>
          <t>France &amp; Benelux</t>
        </is>
      </c>
      <c r="D185" t="inlineStr">
        <is>
          <t>Belgium</t>
        </is>
      </c>
      <c r="E185" t="inlineStr">
        <is>
          <t>B. de Vries</t>
        </is>
      </c>
      <c r="F185" t="inlineStr">
        <is>
          <t>Asset tracking</t>
        </is>
      </c>
      <c r="G185" t="inlineStr">
        <is>
          <t>Smart module</t>
        </is>
      </c>
      <c r="H185" t="inlineStr">
        <is>
          <t>Pilot</t>
        </is>
      </c>
      <c r="I185" t="n">
        <v>0.85</v>
      </c>
      <c r="J185" t="n">
        <v>50000</v>
      </c>
      <c r="K185" t="n">
        <v>91.28</v>
      </c>
      <c r="L185" t="n">
        <v>3</v>
      </c>
      <c r="M185" t="n">
        <v>4564000</v>
      </c>
      <c r="N185" t="n">
        <v>13692000</v>
      </c>
      <c r="O185" t="n">
        <v>11638200</v>
      </c>
      <c r="P185" t="inlineStr">
        <is>
          <t>2025-12-16</t>
        </is>
      </c>
      <c r="Q185" t="inlineStr">
        <is>
          <t>2027-02-09</t>
        </is>
      </c>
      <c r="R185" t="n">
        <v>3</v>
      </c>
      <c r="S185" t="inlineStr">
        <is>
          <t>Send samples</t>
        </is>
      </c>
      <c r="T185" t="inlineStr">
        <is>
          <t>Distributor</t>
        </is>
      </c>
      <c r="U185" t="inlineStr"/>
      <c r="V185">
        <f>IF(S185="",1,0)</f>
        <v/>
      </c>
      <c r="W185">
        <f>IF(J185="",1,0)</f>
        <v/>
      </c>
      <c r="X185">
        <f>IF(F185="",1,0)</f>
        <v/>
      </c>
      <c r="Y185">
        <f>IF(AND(AND(H185&lt;&gt;"Mass production",H185&lt;&gt;"Lost"),DATEVALUE(Q185)&lt;DATE(2026,10,20)),1,0)</f>
        <v/>
      </c>
      <c r="Z185">
        <f>IF(AND(AND(H185&lt;&gt;"Mass production",H185&lt;&gt;"Lost"),R185&gt;30),1,0)</f>
        <v/>
      </c>
      <c r="AA185">
        <f>IF(COUNTIFS($G$2:$G$247,G185,$F$2:$F$247,F185,$J$2:$J$247,J185,$K$2:$K$247,K185)&gt;1,1,0)</f>
        <v/>
      </c>
      <c r="AB185">
        <f>SUM(V185:AA185)</f>
        <v/>
      </c>
    </row>
    <row r="186">
      <c r="A186" t="inlineStr">
        <is>
          <t>OPP-26184</t>
        </is>
      </c>
      <c r="B186" t="inlineStr">
        <is>
          <t>Quorra Health</t>
        </is>
      </c>
      <c r="C186" t="inlineStr">
        <is>
          <t>Southern Europe</t>
        </is>
      </c>
      <c r="D186" t="inlineStr">
        <is>
          <t>Italy</t>
        </is>
      </c>
      <c r="E186" t="inlineStr">
        <is>
          <t>M. Rossi</t>
        </is>
      </c>
      <c r="F186" t="inlineStr">
        <is>
          <t>POS &amp; payments</t>
        </is>
      </c>
      <c r="G186" t="inlineStr">
        <is>
          <t>Smart module</t>
        </is>
      </c>
      <c r="H186" t="inlineStr">
        <is>
          <t>Mass production</t>
        </is>
      </c>
      <c r="I186" t="n">
        <v>1</v>
      </c>
      <c r="J186" t="n">
        <v>8000</v>
      </c>
      <c r="K186" t="n">
        <v>75.01000000000001</v>
      </c>
      <c r="L186" t="n">
        <v>2</v>
      </c>
      <c r="M186" t="n">
        <v>600080</v>
      </c>
      <c r="N186" t="n">
        <v>1200160</v>
      </c>
      <c r="O186" t="n">
        <v>1200160</v>
      </c>
      <c r="P186" t="inlineStr">
        <is>
          <t>2026-09-04</t>
        </is>
      </c>
      <c r="Q186" t="inlineStr">
        <is>
          <t>2026-10-14</t>
        </is>
      </c>
      <c r="R186" t="n">
        <v>10</v>
      </c>
      <c r="S186" t="inlineStr">
        <is>
          <t>Design review</t>
        </is>
      </c>
      <c r="T186" t="inlineStr">
        <is>
          <t>Distributor</t>
        </is>
      </c>
      <c r="U186" t="inlineStr"/>
      <c r="V186">
        <f>IF(S186="",1,0)</f>
        <v/>
      </c>
      <c r="W186">
        <f>IF(J186="",1,0)</f>
        <v/>
      </c>
      <c r="X186">
        <f>IF(F186="",1,0)</f>
        <v/>
      </c>
      <c r="Y186">
        <f>IF(AND(AND(H186&lt;&gt;"Mass production",H186&lt;&gt;"Lost"),DATEVALUE(Q186)&lt;DATE(2026,10,20)),1,0)</f>
        <v/>
      </c>
      <c r="Z186">
        <f>IF(AND(AND(H186&lt;&gt;"Mass production",H186&lt;&gt;"Lost"),R186&gt;30),1,0)</f>
        <v/>
      </c>
      <c r="AA186">
        <f>IF(COUNTIFS($G$2:$G$247,G186,$F$2:$F$247,F186,$J$2:$J$247,J186,$K$2:$K$247,K186)&gt;1,1,0)</f>
        <v/>
      </c>
      <c r="AB186">
        <f>SUM(V186:AA186)</f>
        <v/>
      </c>
    </row>
    <row r="187">
      <c r="A187" t="inlineStr">
        <is>
          <t>OPP-26185</t>
        </is>
      </c>
      <c r="B187" t="inlineStr">
        <is>
          <t>Rhenus Tracking</t>
        </is>
      </c>
      <c r="C187" t="inlineStr">
        <is>
          <t>UK &amp; Ireland</t>
        </is>
      </c>
      <c r="D187" t="inlineStr">
        <is>
          <t>Ireland</t>
        </is>
      </c>
      <c r="E187" t="inlineStr">
        <is>
          <t>R. Patel</t>
        </is>
      </c>
      <c r="F187" t="inlineStr">
        <is>
          <t>Industrial IoT</t>
        </is>
      </c>
      <c r="G187" t="inlineStr">
        <is>
          <t>GNSS</t>
        </is>
      </c>
      <c r="H187" t="inlineStr">
        <is>
          <t>Lead</t>
        </is>
      </c>
      <c r="I187" t="n">
        <v>0.05</v>
      </c>
      <c r="J187" t="n">
        <v>15000</v>
      </c>
      <c r="K187" t="n">
        <v>5.63</v>
      </c>
      <c r="L187" t="n">
        <v>4</v>
      </c>
      <c r="M187" t="n">
        <v>84450</v>
      </c>
      <c r="N187" t="n">
        <v>337800</v>
      </c>
      <c r="O187" t="n">
        <v>16890</v>
      </c>
      <c r="P187" t="inlineStr">
        <is>
          <t>2025-09-17</t>
        </is>
      </c>
      <c r="Q187" t="inlineStr">
        <is>
          <t>2026-09-28</t>
        </is>
      </c>
      <c r="R187" t="n">
        <v>7</v>
      </c>
      <c r="S187" t="inlineStr">
        <is>
          <t>Pilot build follow-up</t>
        </is>
      </c>
      <c r="T187" t="inlineStr">
        <is>
          <t>Distributor</t>
        </is>
      </c>
      <c r="U187" t="inlineStr"/>
      <c r="V187">
        <f>IF(S187="",1,0)</f>
        <v/>
      </c>
      <c r="W187">
        <f>IF(J187="",1,0)</f>
        <v/>
      </c>
      <c r="X187">
        <f>IF(F187="",1,0)</f>
        <v/>
      </c>
      <c r="Y187">
        <f>IF(AND(AND(H187&lt;&gt;"Mass production",H187&lt;&gt;"Lost"),DATEVALUE(Q187)&lt;DATE(2026,10,20)),1,0)</f>
        <v/>
      </c>
      <c r="Z187">
        <f>IF(AND(AND(H187&lt;&gt;"Mass production",H187&lt;&gt;"Lost"),R187&gt;30),1,0)</f>
        <v/>
      </c>
      <c r="AA187">
        <f>IF(COUNTIFS($G$2:$G$247,G187,$F$2:$F$247,F187,$J$2:$J$247,J187,$K$2:$K$247,K187)&gt;1,1,0)</f>
        <v/>
      </c>
      <c r="AB187">
        <f>SUM(V187:AA187)</f>
        <v/>
      </c>
    </row>
    <row r="188">
      <c r="A188" t="inlineStr">
        <is>
          <t>OPP-26186</t>
        </is>
      </c>
      <c r="B188" t="inlineStr">
        <is>
          <t>Orbis Connect</t>
        </is>
      </c>
      <c r="C188" t="inlineStr">
        <is>
          <t>UK &amp; Ireland</t>
        </is>
      </c>
      <c r="D188" t="inlineStr">
        <is>
          <t>United Kingdom</t>
        </is>
      </c>
      <c r="E188" t="inlineStr">
        <is>
          <t>R. Patel</t>
        </is>
      </c>
      <c r="F188" t="inlineStr">
        <is>
          <t>Industrial IoT</t>
        </is>
      </c>
      <c r="G188" t="inlineStr">
        <is>
          <t>Wi-Fi / Bluetooth</t>
        </is>
      </c>
      <c r="H188" t="inlineStr">
        <is>
          <t>Design-win</t>
        </is>
      </c>
      <c r="I188" t="n">
        <v>0.7</v>
      </c>
      <c r="J188" t="n">
        <v>80000</v>
      </c>
      <c r="K188" t="n">
        <v>4.4</v>
      </c>
      <c r="L188" t="n">
        <v>3</v>
      </c>
      <c r="M188" t="n">
        <v>352000</v>
      </c>
      <c r="N188" t="n">
        <v>1056000</v>
      </c>
      <c r="O188" t="n">
        <v>739200</v>
      </c>
      <c r="P188" t="inlineStr">
        <is>
          <t>2025-03-13</t>
        </is>
      </c>
      <c r="Q188" t="inlineStr">
        <is>
          <t>2026-10-11</t>
        </is>
      </c>
      <c r="R188" t="n">
        <v>13</v>
      </c>
      <c r="S188" t="inlineStr">
        <is>
          <t>Price negotiation</t>
        </is>
      </c>
      <c r="T188" t="inlineStr">
        <is>
          <t>Direct</t>
        </is>
      </c>
      <c r="U188" t="inlineStr"/>
      <c r="V188">
        <f>IF(S188="",1,0)</f>
        <v/>
      </c>
      <c r="W188">
        <f>IF(J188="",1,0)</f>
        <v/>
      </c>
      <c r="X188">
        <f>IF(F188="",1,0)</f>
        <v/>
      </c>
      <c r="Y188">
        <f>IF(AND(AND(H188&lt;&gt;"Mass production",H188&lt;&gt;"Lost"),DATEVALUE(Q188)&lt;DATE(2026,10,20)),1,0)</f>
        <v/>
      </c>
      <c r="Z188">
        <f>IF(AND(AND(H188&lt;&gt;"Mass production",H188&lt;&gt;"Lost"),R188&gt;30),1,0)</f>
        <v/>
      </c>
      <c r="AA188">
        <f>IF(COUNTIFS($G$2:$G$247,G188,$F$2:$F$247,F188,$J$2:$J$247,J188,$K$2:$K$247,K188)&gt;1,1,0)</f>
        <v/>
      </c>
      <c r="AB188">
        <f>SUM(V188:AA188)</f>
        <v/>
      </c>
    </row>
    <row r="189">
      <c r="A189" t="inlineStr">
        <is>
          <t>OPP-26187</t>
        </is>
      </c>
      <c r="B189" t="inlineStr">
        <is>
          <t>Orbis Metering</t>
        </is>
      </c>
      <c r="C189" t="inlineStr">
        <is>
          <t>CEE</t>
        </is>
      </c>
      <c r="D189" t="inlineStr">
        <is>
          <t>Czechia</t>
        </is>
      </c>
      <c r="E189" t="inlineStr">
        <is>
          <t>K. Nowak</t>
        </is>
      </c>
      <c r="F189" t="inlineStr">
        <is>
          <t>Industrial IoT</t>
        </is>
      </c>
      <c r="G189" t="inlineStr">
        <is>
          <t>GNSS</t>
        </is>
      </c>
      <c r="H189" t="inlineStr">
        <is>
          <t>Lead</t>
        </is>
      </c>
      <c r="I189" t="n">
        <v>0.05</v>
      </c>
      <c r="J189" t="n">
        <v>80000</v>
      </c>
      <c r="K189" t="n">
        <v>8.449999999999999</v>
      </c>
      <c r="L189" t="n">
        <v>5</v>
      </c>
      <c r="M189" t="n">
        <v>676000</v>
      </c>
      <c r="N189" t="n">
        <v>3380000</v>
      </c>
      <c r="O189" t="n">
        <v>169000</v>
      </c>
      <c r="P189" t="inlineStr">
        <is>
          <t>2026-05-03</t>
        </is>
      </c>
      <c r="Q189" t="inlineStr">
        <is>
          <t>2026-11-10</t>
        </is>
      </c>
      <c r="R189" t="n">
        <v>53</v>
      </c>
      <c r="S189" t="inlineStr">
        <is>
          <t>Certification plan</t>
        </is>
      </c>
      <c r="T189" t="inlineStr">
        <is>
          <t>Direct</t>
        </is>
      </c>
      <c r="U189" t="inlineStr"/>
      <c r="V189">
        <f>IF(S189="",1,0)</f>
        <v/>
      </c>
      <c r="W189">
        <f>IF(J189="",1,0)</f>
        <v/>
      </c>
      <c r="X189">
        <f>IF(F189="",1,0)</f>
        <v/>
      </c>
      <c r="Y189">
        <f>IF(AND(AND(H189&lt;&gt;"Mass production",H189&lt;&gt;"Lost"),DATEVALUE(Q189)&lt;DATE(2026,10,20)),1,0)</f>
        <v/>
      </c>
      <c r="Z189">
        <f>IF(AND(AND(H189&lt;&gt;"Mass production",H189&lt;&gt;"Lost"),R189&gt;30),1,0)</f>
        <v/>
      </c>
      <c r="AA189">
        <f>IF(COUNTIFS($G$2:$G$247,G189,$F$2:$F$247,F189,$J$2:$J$247,J189,$K$2:$K$247,K189)&gt;1,1,0)</f>
        <v/>
      </c>
      <c r="AB189">
        <f>SUM(V189:AA189)</f>
        <v/>
      </c>
    </row>
    <row r="190">
      <c r="A190" t="inlineStr">
        <is>
          <t>OPP-26188</t>
        </is>
      </c>
      <c r="B190" t="inlineStr">
        <is>
          <t>Ferro Energy</t>
        </is>
      </c>
      <c r="C190" t="inlineStr">
        <is>
          <t>France &amp; Benelux</t>
        </is>
      </c>
      <c r="D190" t="inlineStr">
        <is>
          <t>Belgium</t>
        </is>
      </c>
      <c r="E190" t="inlineStr">
        <is>
          <t>B. de Vries</t>
        </is>
      </c>
      <c r="F190" t="inlineStr">
        <is>
          <t>POS &amp; payments</t>
        </is>
      </c>
      <c r="G190" t="inlineStr">
        <is>
          <t>Wi-Fi / Bluetooth</t>
        </is>
      </c>
      <c r="H190" t="inlineStr">
        <is>
          <t>Design-in</t>
        </is>
      </c>
      <c r="I190" t="n">
        <v>0.4</v>
      </c>
      <c r="J190" t="n">
        <v>80000</v>
      </c>
      <c r="K190" t="n">
        <v>4.7</v>
      </c>
      <c r="L190" t="n">
        <v>3</v>
      </c>
      <c r="M190" t="n">
        <v>376000</v>
      </c>
      <c r="N190" t="n">
        <v>1128000</v>
      </c>
      <c r="O190" t="n">
        <v>451200</v>
      </c>
      <c r="P190" t="inlineStr">
        <is>
          <t>2025-11-07</t>
        </is>
      </c>
      <c r="Q190" t="inlineStr">
        <is>
          <t>2026-10-14</t>
        </is>
      </c>
      <c r="R190" t="n">
        <v>1</v>
      </c>
      <c r="S190" t="inlineStr"/>
      <c r="T190" t="inlineStr">
        <is>
          <t>FAE referral</t>
        </is>
      </c>
      <c r="U190" t="inlineStr"/>
      <c r="V190">
        <f>IF(S190="",1,0)</f>
        <v/>
      </c>
      <c r="W190">
        <f>IF(J190="",1,0)</f>
        <v/>
      </c>
      <c r="X190">
        <f>IF(F190="",1,0)</f>
        <v/>
      </c>
      <c r="Y190">
        <f>IF(AND(AND(H190&lt;&gt;"Mass production",H190&lt;&gt;"Lost"),DATEVALUE(Q190)&lt;DATE(2026,10,20)),1,0)</f>
        <v/>
      </c>
      <c r="Z190">
        <f>IF(AND(AND(H190&lt;&gt;"Mass production",H190&lt;&gt;"Lost"),R190&gt;30),1,0)</f>
        <v/>
      </c>
      <c r="AA190">
        <f>IF(COUNTIFS($G$2:$G$247,G190,$F$2:$F$247,F190,$J$2:$J$247,J190,$K$2:$K$247,K190)&gt;1,1,0)</f>
        <v/>
      </c>
      <c r="AB190">
        <f>SUM(V190:AA190)</f>
        <v/>
      </c>
    </row>
    <row r="191">
      <c r="A191" t="inlineStr">
        <is>
          <t>OPP-26189</t>
        </is>
      </c>
      <c r="B191" t="inlineStr">
        <is>
          <t>Morava Systems</t>
        </is>
      </c>
      <c r="C191" t="inlineStr">
        <is>
          <t>France &amp; Benelux</t>
        </is>
      </c>
      <c r="D191" t="inlineStr">
        <is>
          <t>Netherlands</t>
        </is>
      </c>
      <c r="E191" t="inlineStr">
        <is>
          <t>C. Martin</t>
        </is>
      </c>
      <c r="F191" t="inlineStr">
        <is>
          <t>POS &amp; payments</t>
        </is>
      </c>
      <c r="G191" t="inlineStr">
        <is>
          <t>GNSS</t>
        </is>
      </c>
      <c r="H191" t="inlineStr">
        <is>
          <t>Design-win</t>
        </is>
      </c>
      <c r="I191" t="n">
        <v>0.7</v>
      </c>
      <c r="J191" t="n">
        <v>3000</v>
      </c>
      <c r="K191" t="n">
        <v>7.8</v>
      </c>
      <c r="L191" t="n">
        <v>4</v>
      </c>
      <c r="M191" t="n">
        <v>23400</v>
      </c>
      <c r="N191" t="n">
        <v>93600</v>
      </c>
      <c r="O191" t="n">
        <v>65520</v>
      </c>
      <c r="P191" t="inlineStr">
        <is>
          <t>2026-04-30</t>
        </is>
      </c>
      <c r="Q191" t="inlineStr">
        <is>
          <t>2026-11-24</t>
        </is>
      </c>
      <c r="R191" t="n">
        <v>9</v>
      </c>
      <c r="S191" t="inlineStr">
        <is>
          <t>Forecast confirmation</t>
        </is>
      </c>
      <c r="T191" t="inlineStr">
        <is>
          <t>Website</t>
        </is>
      </c>
      <c r="U191" t="inlineStr"/>
      <c r="V191">
        <f>IF(S191="",1,0)</f>
        <v/>
      </c>
      <c r="W191">
        <f>IF(J191="",1,0)</f>
        <v/>
      </c>
      <c r="X191">
        <f>IF(F191="",1,0)</f>
        <v/>
      </c>
      <c r="Y191">
        <f>IF(AND(AND(H191&lt;&gt;"Mass production",H191&lt;&gt;"Lost"),DATEVALUE(Q191)&lt;DATE(2026,10,20)),1,0)</f>
        <v/>
      </c>
      <c r="Z191">
        <f>IF(AND(AND(H191&lt;&gt;"Mass production",H191&lt;&gt;"Lost"),R191&gt;30),1,0)</f>
        <v/>
      </c>
      <c r="AA191">
        <f>IF(COUNTIFS($G$2:$G$247,G191,$F$2:$F$247,F191,$J$2:$J$247,J191,$K$2:$K$247,K191)&gt;1,1,0)</f>
        <v/>
      </c>
      <c r="AB191">
        <f>SUM(V191:AA191)</f>
        <v/>
      </c>
    </row>
    <row r="192">
      <c r="A192" t="inlineStr">
        <is>
          <t>OPP-26190</t>
        </is>
      </c>
      <c r="B192" t="inlineStr">
        <is>
          <t>Lumen Connect</t>
        </is>
      </c>
      <c r="C192" t="inlineStr">
        <is>
          <t>DACH</t>
        </is>
      </c>
      <c r="D192" t="inlineStr">
        <is>
          <t>Austria</t>
        </is>
      </c>
      <c r="E192" t="inlineStr">
        <is>
          <t>L. Hoffmann</t>
        </is>
      </c>
      <c r="F192" t="inlineStr">
        <is>
          <t>Industrial IoT</t>
        </is>
      </c>
      <c r="G192" t="inlineStr">
        <is>
          <t>GNSS</t>
        </is>
      </c>
      <c r="H192" t="inlineStr">
        <is>
          <t>Design-in</t>
        </is>
      </c>
      <c r="I192" t="n">
        <v>0.4</v>
      </c>
      <c r="J192" t="n">
        <v>5000</v>
      </c>
      <c r="K192" t="n">
        <v>6.1</v>
      </c>
      <c r="L192" t="n">
        <v>3</v>
      </c>
      <c r="M192" t="n">
        <v>30500</v>
      </c>
      <c r="N192" t="n">
        <v>91500</v>
      </c>
      <c r="O192" t="n">
        <v>36600</v>
      </c>
      <c r="P192" t="inlineStr">
        <is>
          <t>2025-08-14</t>
        </is>
      </c>
      <c r="Q192" t="inlineStr">
        <is>
          <t>2026-11-22</t>
        </is>
      </c>
      <c r="R192" t="n">
        <v>9</v>
      </c>
      <c r="S192" t="inlineStr">
        <is>
          <t>Send samples</t>
        </is>
      </c>
      <c r="T192" t="inlineStr">
        <is>
          <t>Tradeshow</t>
        </is>
      </c>
      <c r="U192" t="inlineStr"/>
      <c r="V192">
        <f>IF(S192="",1,0)</f>
        <v/>
      </c>
      <c r="W192">
        <f>IF(J192="",1,0)</f>
        <v/>
      </c>
      <c r="X192">
        <f>IF(F192="",1,0)</f>
        <v/>
      </c>
      <c r="Y192">
        <f>IF(AND(AND(H192&lt;&gt;"Mass production",H192&lt;&gt;"Lost"),DATEVALUE(Q192)&lt;DATE(2026,10,20)),1,0)</f>
        <v/>
      </c>
      <c r="Z192">
        <f>IF(AND(AND(H192&lt;&gt;"Mass production",H192&lt;&gt;"Lost"),R192&gt;30),1,0)</f>
        <v/>
      </c>
      <c r="AA192">
        <f>IF(COUNTIFS($G$2:$G$247,G192,$F$2:$F$247,F192,$J$2:$J$247,J192,$K$2:$K$247,K192)&gt;1,1,0)</f>
        <v/>
      </c>
      <c r="AB192">
        <f>SUM(V192:AA192)</f>
        <v/>
      </c>
    </row>
    <row r="193">
      <c r="A193" t="inlineStr">
        <is>
          <t>OPP-26191</t>
        </is>
      </c>
      <c r="B193" t="inlineStr">
        <is>
          <t>Morava Mobility</t>
        </is>
      </c>
      <c r="C193" t="inlineStr">
        <is>
          <t>UK &amp; Ireland</t>
        </is>
      </c>
      <c r="D193" t="inlineStr">
        <is>
          <t>Ireland</t>
        </is>
      </c>
      <c r="E193" t="inlineStr">
        <is>
          <t>R. Patel</t>
        </is>
      </c>
      <c r="F193" t="inlineStr">
        <is>
          <t>Healthcare</t>
        </is>
      </c>
      <c r="G193" t="inlineStr">
        <is>
          <t>Wi-Fi / Bluetooth</t>
        </is>
      </c>
      <c r="H193" t="inlineStr">
        <is>
          <t>Lead</t>
        </is>
      </c>
      <c r="I193" t="n">
        <v>0.05</v>
      </c>
      <c r="J193" t="n">
        <v>10000</v>
      </c>
      <c r="K193" t="n">
        <v>5.28</v>
      </c>
      <c r="L193" t="n">
        <v>3</v>
      </c>
      <c r="M193" t="n">
        <v>52800</v>
      </c>
      <c r="N193" t="n">
        <v>158400</v>
      </c>
      <c r="O193" t="n">
        <v>7920</v>
      </c>
      <c r="P193" t="inlineStr">
        <is>
          <t>2025-05-15</t>
        </is>
      </c>
      <c r="Q193" t="inlineStr">
        <is>
          <t>2027-11-23</t>
        </is>
      </c>
      <c r="R193" t="n">
        <v>11</v>
      </c>
      <c r="S193" t="inlineStr">
        <is>
          <t>Pilot build follow-up</t>
        </is>
      </c>
      <c r="T193" t="inlineStr">
        <is>
          <t>Tradeshow</t>
        </is>
      </c>
      <c r="U193" t="inlineStr"/>
      <c r="V193">
        <f>IF(S193="",1,0)</f>
        <v/>
      </c>
      <c r="W193">
        <f>IF(J193="",1,0)</f>
        <v/>
      </c>
      <c r="X193">
        <f>IF(F193="",1,0)</f>
        <v/>
      </c>
      <c r="Y193">
        <f>IF(AND(AND(H193&lt;&gt;"Mass production",H193&lt;&gt;"Lost"),DATEVALUE(Q193)&lt;DATE(2026,10,20)),1,0)</f>
        <v/>
      </c>
      <c r="Z193">
        <f>IF(AND(AND(H193&lt;&gt;"Mass production",H193&lt;&gt;"Lost"),R193&gt;30),1,0)</f>
        <v/>
      </c>
      <c r="AA193">
        <f>IF(COUNTIFS($G$2:$G$247,G193,$F$2:$F$247,F193,$J$2:$J$247,J193,$K$2:$K$247,K193)&gt;1,1,0)</f>
        <v/>
      </c>
      <c r="AB193">
        <f>SUM(V193:AA193)</f>
        <v/>
      </c>
    </row>
    <row r="194">
      <c r="A194" t="inlineStr">
        <is>
          <t>OPP-26192</t>
        </is>
      </c>
      <c r="B194" t="inlineStr">
        <is>
          <t>Cedar Industrial</t>
        </is>
      </c>
      <c r="C194" t="inlineStr">
        <is>
          <t>France &amp; Benelux</t>
        </is>
      </c>
      <c r="D194" t="inlineStr">
        <is>
          <t>Netherlands</t>
        </is>
      </c>
      <c r="E194" t="inlineStr">
        <is>
          <t>C. Martin</t>
        </is>
      </c>
      <c r="F194" t="inlineStr">
        <is>
          <t>POS &amp; payments</t>
        </is>
      </c>
      <c r="G194" t="inlineStr">
        <is>
          <t>5G eMBB</t>
        </is>
      </c>
      <c r="H194" t="inlineStr">
        <is>
          <t>Qualified</t>
        </is>
      </c>
      <c r="I194" t="n">
        <v>0.1</v>
      </c>
      <c r="J194" t="n">
        <v>20000</v>
      </c>
      <c r="K194" t="n">
        <v>135.24</v>
      </c>
      <c r="L194" t="n">
        <v>4</v>
      </c>
      <c r="M194" t="n">
        <v>2704800</v>
      </c>
      <c r="N194" t="n">
        <v>10819200</v>
      </c>
      <c r="O194" t="n">
        <v>1081920</v>
      </c>
      <c r="P194" t="inlineStr">
        <is>
          <t>2025-04-20</t>
        </is>
      </c>
      <c r="Q194" t="inlineStr">
        <is>
          <t>2027-03-20</t>
        </is>
      </c>
      <c r="R194" t="n">
        <v>16</v>
      </c>
      <c r="S194" t="inlineStr">
        <is>
          <t>Design review</t>
        </is>
      </c>
      <c r="T194" t="inlineStr">
        <is>
          <t>Direct</t>
        </is>
      </c>
      <c r="U194" t="inlineStr"/>
      <c r="V194">
        <f>IF(S194="",1,0)</f>
        <v/>
      </c>
      <c r="W194">
        <f>IF(J194="",1,0)</f>
        <v/>
      </c>
      <c r="X194">
        <f>IF(F194="",1,0)</f>
        <v/>
      </c>
      <c r="Y194">
        <f>IF(AND(AND(H194&lt;&gt;"Mass production",H194&lt;&gt;"Lost"),DATEVALUE(Q194)&lt;DATE(2026,10,20)),1,0)</f>
        <v/>
      </c>
      <c r="Z194">
        <f>IF(AND(AND(H194&lt;&gt;"Mass production",H194&lt;&gt;"Lost"),R194&gt;30),1,0)</f>
        <v/>
      </c>
      <c r="AA194">
        <f>IF(COUNTIFS($G$2:$G$247,G194,$F$2:$F$247,F194,$J$2:$J$247,J194,$K$2:$K$247,K194)&gt;1,1,0)</f>
        <v/>
      </c>
      <c r="AB194">
        <f>SUM(V194:AA194)</f>
        <v/>
      </c>
    </row>
    <row r="195">
      <c r="A195" t="inlineStr">
        <is>
          <t>OPP-26193</t>
        </is>
      </c>
      <c r="B195" t="inlineStr">
        <is>
          <t>Bluecell Labs</t>
        </is>
      </c>
      <c r="C195" t="inlineStr">
        <is>
          <t>Southern Europe</t>
        </is>
      </c>
      <c r="D195" t="inlineStr">
        <is>
          <t>Portugal</t>
        </is>
      </c>
      <c r="E195" t="inlineStr">
        <is>
          <t>A. Garcia</t>
        </is>
      </c>
      <c r="F195" t="inlineStr">
        <is>
          <t>Healthcare</t>
        </is>
      </c>
      <c r="G195" t="inlineStr">
        <is>
          <t>5G eMBB</t>
        </is>
      </c>
      <c r="H195" t="inlineStr">
        <is>
          <t>Lead</t>
        </is>
      </c>
      <c r="I195" t="n">
        <v>0.05</v>
      </c>
      <c r="J195" t="n">
        <v>8000</v>
      </c>
      <c r="K195" t="n">
        <v>133.13</v>
      </c>
      <c r="L195" t="n">
        <v>2</v>
      </c>
      <c r="M195" t="n">
        <v>1065040</v>
      </c>
      <c r="N195" t="n">
        <v>2130080</v>
      </c>
      <c r="O195" t="n">
        <v>106504</v>
      </c>
      <c r="P195" t="inlineStr">
        <is>
          <t>2026-01-18</t>
        </is>
      </c>
      <c r="Q195" t="inlineStr">
        <is>
          <t>2026-09-26</t>
        </is>
      </c>
      <c r="R195" t="n">
        <v>16</v>
      </c>
      <c r="S195" t="inlineStr">
        <is>
          <t>Price negotiation</t>
        </is>
      </c>
      <c r="T195" t="inlineStr">
        <is>
          <t>Distributor</t>
        </is>
      </c>
      <c r="U195" t="inlineStr"/>
      <c r="V195">
        <f>IF(S195="",1,0)</f>
        <v/>
      </c>
      <c r="W195">
        <f>IF(J195="",1,0)</f>
        <v/>
      </c>
      <c r="X195">
        <f>IF(F195="",1,0)</f>
        <v/>
      </c>
      <c r="Y195">
        <f>IF(AND(AND(H195&lt;&gt;"Mass production",H195&lt;&gt;"Lost"),DATEVALUE(Q195)&lt;DATE(2026,10,20)),1,0)</f>
        <v/>
      </c>
      <c r="Z195">
        <f>IF(AND(AND(H195&lt;&gt;"Mass production",H195&lt;&gt;"Lost"),R195&gt;30),1,0)</f>
        <v/>
      </c>
      <c r="AA195">
        <f>IF(COUNTIFS($G$2:$G$247,G195,$F$2:$F$247,F195,$J$2:$J$247,J195,$K$2:$K$247,K195)&gt;1,1,0)</f>
        <v/>
      </c>
      <c r="AB195">
        <f>SUM(V195:AA195)</f>
        <v/>
      </c>
    </row>
    <row r="196">
      <c r="A196" t="inlineStr">
        <is>
          <t>OPP-26194</t>
        </is>
      </c>
      <c r="B196" t="inlineStr">
        <is>
          <t>Arcturus Telematics</t>
        </is>
      </c>
      <c r="C196" t="inlineStr">
        <is>
          <t>UK &amp; Ireland</t>
        </is>
      </c>
      <c r="D196" t="inlineStr">
        <is>
          <t>Ireland</t>
        </is>
      </c>
      <c r="E196" t="inlineStr">
        <is>
          <t>R. Patel</t>
        </is>
      </c>
      <c r="F196" t="inlineStr">
        <is>
          <t>Automotive &amp; C-V2X</t>
        </is>
      </c>
      <c r="G196" t="inlineStr">
        <is>
          <t>5G eMBB</t>
        </is>
      </c>
      <c r="H196" t="inlineStr">
        <is>
          <t>Design-win</t>
        </is>
      </c>
      <c r="I196" t="n">
        <v>0.7</v>
      </c>
      <c r="J196" t="n">
        <v>80000</v>
      </c>
      <c r="K196" t="n">
        <v>105.49</v>
      </c>
      <c r="L196" t="n">
        <v>4</v>
      </c>
      <c r="M196" t="n">
        <v>8439200</v>
      </c>
      <c r="N196" t="n">
        <v>33756800</v>
      </c>
      <c r="O196" t="n">
        <v>23629760</v>
      </c>
      <c r="P196" t="inlineStr">
        <is>
          <t>2026-04-02</t>
        </is>
      </c>
      <c r="Q196" t="inlineStr">
        <is>
          <t>2027-05-10</t>
        </is>
      </c>
      <c r="R196" t="n">
        <v>9</v>
      </c>
      <c r="S196" t="inlineStr"/>
      <c r="T196" t="inlineStr">
        <is>
          <t>Direct</t>
        </is>
      </c>
      <c r="U196" t="inlineStr"/>
      <c r="V196">
        <f>IF(S196="",1,0)</f>
        <v/>
      </c>
      <c r="W196">
        <f>IF(J196="",1,0)</f>
        <v/>
      </c>
      <c r="X196">
        <f>IF(F196="",1,0)</f>
        <v/>
      </c>
      <c r="Y196">
        <f>IF(AND(AND(H196&lt;&gt;"Mass production",H196&lt;&gt;"Lost"),DATEVALUE(Q196)&lt;DATE(2026,10,20)),1,0)</f>
        <v/>
      </c>
      <c r="Z196">
        <f>IF(AND(AND(H196&lt;&gt;"Mass production",H196&lt;&gt;"Lost"),R196&gt;30),1,0)</f>
        <v/>
      </c>
      <c r="AA196">
        <f>IF(COUNTIFS($G$2:$G$247,G196,$F$2:$F$247,F196,$J$2:$J$247,J196,$K$2:$K$247,K196)&gt;1,1,0)</f>
        <v/>
      </c>
      <c r="AB196">
        <f>SUM(V196:AA196)</f>
        <v/>
      </c>
    </row>
    <row r="197">
      <c r="A197" t="inlineStr">
        <is>
          <t>OPP-26195</t>
        </is>
      </c>
      <c r="B197" t="inlineStr">
        <is>
          <t>Iberix Electronics</t>
        </is>
      </c>
      <c r="C197" t="inlineStr">
        <is>
          <t>Middle East &amp; Africa</t>
        </is>
      </c>
      <c r="D197" t="inlineStr">
        <is>
          <t>UAE</t>
        </is>
      </c>
      <c r="E197" t="inlineStr">
        <is>
          <t>Y. Cohen</t>
        </is>
      </c>
      <c r="F197" t="inlineStr">
        <is>
          <t>Smart metering</t>
        </is>
      </c>
      <c r="G197" t="inlineStr">
        <is>
          <t>5G eMBB</t>
        </is>
      </c>
      <c r="H197" t="inlineStr">
        <is>
          <t>Mass production</t>
        </is>
      </c>
      <c r="I197" t="n">
        <v>1</v>
      </c>
      <c r="J197" t="n">
        <v>8000</v>
      </c>
      <c r="K197" t="n">
        <v>132.14</v>
      </c>
      <c r="L197" t="n">
        <v>3</v>
      </c>
      <c r="M197" t="n">
        <v>1057120</v>
      </c>
      <c r="N197" t="n">
        <v>3171360</v>
      </c>
      <c r="O197" t="n">
        <v>3171360</v>
      </c>
      <c r="P197" t="inlineStr">
        <is>
          <t>2025-12-29</t>
        </is>
      </c>
      <c r="Q197" t="inlineStr">
        <is>
          <t>2026-10-03</t>
        </is>
      </c>
      <c r="R197" t="n">
        <v>91</v>
      </c>
      <c r="S197" t="inlineStr">
        <is>
          <t>Certification plan</t>
        </is>
      </c>
      <c r="T197" t="inlineStr">
        <is>
          <t>Direct</t>
        </is>
      </c>
      <c r="U197" t="inlineStr"/>
      <c r="V197">
        <f>IF(S197="",1,0)</f>
        <v/>
      </c>
      <c r="W197">
        <f>IF(J197="",1,0)</f>
        <v/>
      </c>
      <c r="X197">
        <f>IF(F197="",1,0)</f>
        <v/>
      </c>
      <c r="Y197">
        <f>IF(AND(AND(H197&lt;&gt;"Mass production",H197&lt;&gt;"Lost"),DATEVALUE(Q197)&lt;DATE(2026,10,20)),1,0)</f>
        <v/>
      </c>
      <c r="Z197">
        <f>IF(AND(AND(H197&lt;&gt;"Mass production",H197&lt;&gt;"Lost"),R197&gt;30),1,0)</f>
        <v/>
      </c>
      <c r="AA197">
        <f>IF(COUNTIFS($G$2:$G$247,G197,$F$2:$F$247,F197,$J$2:$J$247,J197,$K$2:$K$247,K197)&gt;1,1,0)</f>
        <v/>
      </c>
      <c r="AB197">
        <f>SUM(V197:AA197)</f>
        <v/>
      </c>
    </row>
    <row r="198">
      <c r="A198" t="inlineStr">
        <is>
          <t>OPP-26196</t>
        </is>
      </c>
      <c r="B198" t="inlineStr">
        <is>
          <t>Nordwind Connect</t>
        </is>
      </c>
      <c r="C198" t="inlineStr">
        <is>
          <t>UK &amp; Ireland</t>
        </is>
      </c>
      <c r="D198" t="inlineStr">
        <is>
          <t>United Kingdom</t>
        </is>
      </c>
      <c r="E198" t="inlineStr">
        <is>
          <t>R. Patel</t>
        </is>
      </c>
      <c r="F198" t="inlineStr">
        <is>
          <t>Automotive &amp; C-V2X</t>
        </is>
      </c>
      <c r="G198" t="inlineStr">
        <is>
          <t>Smart module</t>
        </is>
      </c>
      <c r="H198" t="inlineStr">
        <is>
          <t>Pilot</t>
        </is>
      </c>
      <c r="I198" t="n">
        <v>0.85</v>
      </c>
      <c r="J198" t="n">
        <v>20000</v>
      </c>
      <c r="K198" t="n">
        <v>77.14</v>
      </c>
      <c r="L198" t="n">
        <v>4</v>
      </c>
      <c r="M198" t="n">
        <v>1542800</v>
      </c>
      <c r="N198" t="n">
        <v>6171200</v>
      </c>
      <c r="O198" t="n">
        <v>5245520</v>
      </c>
      <c r="P198" t="inlineStr">
        <is>
          <t>2025-10-08</t>
        </is>
      </c>
      <c r="Q198" t="inlineStr">
        <is>
          <t>2027-05-03</t>
        </is>
      </c>
      <c r="R198" t="n">
        <v>4</v>
      </c>
      <c r="S198" t="inlineStr">
        <is>
          <t>Send samples</t>
        </is>
      </c>
      <c r="T198" t="inlineStr">
        <is>
          <t>Distributor</t>
        </is>
      </c>
      <c r="U198" t="inlineStr"/>
      <c r="V198">
        <f>IF(S198="",1,0)</f>
        <v/>
      </c>
      <c r="W198">
        <f>IF(J198="",1,0)</f>
        <v/>
      </c>
      <c r="X198">
        <f>IF(F198="",1,0)</f>
        <v/>
      </c>
      <c r="Y198">
        <f>IF(AND(AND(H198&lt;&gt;"Mass production",H198&lt;&gt;"Lost"),DATEVALUE(Q198)&lt;DATE(2026,10,20)),1,0)</f>
        <v/>
      </c>
      <c r="Z198">
        <f>IF(AND(AND(H198&lt;&gt;"Mass production",H198&lt;&gt;"Lost"),R198&gt;30),1,0)</f>
        <v/>
      </c>
      <c r="AA198">
        <f>IF(COUNTIFS($G$2:$G$247,G198,$F$2:$F$247,F198,$J$2:$J$247,J198,$K$2:$K$247,K198)&gt;1,1,0)</f>
        <v/>
      </c>
      <c r="AB198">
        <f>SUM(V198:AA198)</f>
        <v/>
      </c>
    </row>
    <row r="199">
      <c r="A199" t="inlineStr">
        <is>
          <t>OPP-26197</t>
        </is>
      </c>
      <c r="B199" t="inlineStr">
        <is>
          <t>Morava Mobility</t>
        </is>
      </c>
      <c r="C199" t="inlineStr">
        <is>
          <t>UK &amp; Ireland</t>
        </is>
      </c>
      <c r="D199" t="inlineStr">
        <is>
          <t>Ireland</t>
        </is>
      </c>
      <c r="E199" t="inlineStr">
        <is>
          <t>R. Patel</t>
        </is>
      </c>
      <c r="F199" t="inlineStr">
        <is>
          <t>POS &amp; payments</t>
        </is>
      </c>
      <c r="G199" t="inlineStr">
        <is>
          <t>GNSS</t>
        </is>
      </c>
      <c r="H199" t="inlineStr">
        <is>
          <t>Design-in</t>
        </is>
      </c>
      <c r="I199" t="n">
        <v>0.4</v>
      </c>
      <c r="J199" t="n">
        <v>10000</v>
      </c>
      <c r="K199" t="n">
        <v>6.85</v>
      </c>
      <c r="L199" t="n">
        <v>2</v>
      </c>
      <c r="M199" t="n">
        <v>68500</v>
      </c>
      <c r="N199" t="n">
        <v>137000</v>
      </c>
      <c r="O199" t="n">
        <v>54800</v>
      </c>
      <c r="P199" t="inlineStr">
        <is>
          <t>2025-05-25</t>
        </is>
      </c>
      <c r="Q199" t="inlineStr">
        <is>
          <t>2026-10-12</t>
        </is>
      </c>
      <c r="R199" t="n">
        <v>5</v>
      </c>
      <c r="S199" t="inlineStr">
        <is>
          <t>Pilot build follow-up</t>
        </is>
      </c>
      <c r="T199" t="inlineStr">
        <is>
          <t>Direct</t>
        </is>
      </c>
      <c r="U199" t="inlineStr"/>
      <c r="V199">
        <f>IF(S199="",1,0)</f>
        <v/>
      </c>
      <c r="W199">
        <f>IF(J199="",1,0)</f>
        <v/>
      </c>
      <c r="X199">
        <f>IF(F199="",1,0)</f>
        <v/>
      </c>
      <c r="Y199">
        <f>IF(AND(AND(H199&lt;&gt;"Mass production",H199&lt;&gt;"Lost"),DATEVALUE(Q199)&lt;DATE(2026,10,20)),1,0)</f>
        <v/>
      </c>
      <c r="Z199">
        <f>IF(AND(AND(H199&lt;&gt;"Mass production",H199&lt;&gt;"Lost"),R199&gt;30),1,0)</f>
        <v/>
      </c>
      <c r="AA199">
        <f>IF(COUNTIFS($G$2:$G$247,G199,$F$2:$F$247,F199,$J$2:$J$247,J199,$K$2:$K$247,K199)&gt;1,1,0)</f>
        <v/>
      </c>
      <c r="AB199">
        <f>SUM(V199:AA199)</f>
        <v/>
      </c>
    </row>
    <row r="200">
      <c r="A200" t="inlineStr">
        <is>
          <t>OPP-26198</t>
        </is>
      </c>
      <c r="B200" t="inlineStr">
        <is>
          <t>Corvid Connect</t>
        </is>
      </c>
      <c r="C200" t="inlineStr">
        <is>
          <t>DACH</t>
        </is>
      </c>
      <c r="D200" t="inlineStr">
        <is>
          <t>Austria</t>
        </is>
      </c>
      <c r="E200" t="inlineStr">
        <is>
          <t>L. Hoffmann</t>
        </is>
      </c>
      <c r="F200" t="inlineStr">
        <is>
          <t>Smart home &amp; security</t>
        </is>
      </c>
      <c r="G200" t="inlineStr">
        <is>
          <t>Wi-Fi / Bluetooth</t>
        </is>
      </c>
      <c r="H200" t="inlineStr">
        <is>
          <t>Lost</t>
        </is>
      </c>
      <c r="I200" t="n">
        <v>0</v>
      </c>
      <c r="J200" t="n">
        <v>80000</v>
      </c>
      <c r="K200" t="n">
        <v>5.5</v>
      </c>
      <c r="L200" t="n">
        <v>4</v>
      </c>
      <c r="M200" t="n">
        <v>440000</v>
      </c>
      <c r="N200" t="n">
        <v>1760000</v>
      </c>
      <c r="O200" t="n">
        <v>0</v>
      </c>
      <c r="P200" t="inlineStr">
        <is>
          <t>2025-11-07</t>
        </is>
      </c>
      <c r="Q200" t="inlineStr">
        <is>
          <t>2026-05-17</t>
        </is>
      </c>
      <c r="R200" t="n">
        <v>0</v>
      </c>
      <c r="S200" t="inlineStr">
        <is>
          <t>Design review</t>
        </is>
      </c>
      <c r="T200" t="inlineStr">
        <is>
          <t>Tradeshow</t>
        </is>
      </c>
      <c r="U200" t="inlineStr">
        <is>
          <t>Technical fit</t>
        </is>
      </c>
      <c r="V200">
        <f>IF(S200="",1,0)</f>
        <v/>
      </c>
      <c r="W200">
        <f>IF(J200="",1,0)</f>
        <v/>
      </c>
      <c r="X200">
        <f>IF(F200="",1,0)</f>
        <v/>
      </c>
      <c r="Y200">
        <f>IF(AND(AND(H200&lt;&gt;"Mass production",H200&lt;&gt;"Lost"),DATEVALUE(Q200)&lt;DATE(2026,10,20)),1,0)</f>
        <v/>
      </c>
      <c r="Z200">
        <f>IF(AND(AND(H200&lt;&gt;"Mass production",H200&lt;&gt;"Lost"),R200&gt;30),1,0)</f>
        <v/>
      </c>
      <c r="AA200">
        <f>IF(COUNTIFS($G$2:$G$247,G200,$F$2:$F$247,F200,$J$2:$J$247,J200,$K$2:$K$247,K200)&gt;1,1,0)</f>
        <v/>
      </c>
      <c r="AB200">
        <f>SUM(V200:AA200)</f>
        <v/>
      </c>
    </row>
    <row r="201">
      <c r="A201" t="inlineStr">
        <is>
          <t>OPP-26199</t>
        </is>
      </c>
      <c r="B201" t="inlineStr">
        <is>
          <t>Iberix Electronics</t>
        </is>
      </c>
      <c r="C201" t="inlineStr">
        <is>
          <t>Middle East &amp; Africa</t>
        </is>
      </c>
      <c r="D201" t="inlineStr">
        <is>
          <t>UAE</t>
        </is>
      </c>
      <c r="E201" t="inlineStr">
        <is>
          <t>Y. Cohen</t>
        </is>
      </c>
      <c r="F201" t="inlineStr">
        <is>
          <t>POS &amp; payments</t>
        </is>
      </c>
      <c r="G201" t="inlineStr">
        <is>
          <t>LTE Cat 1 bis</t>
        </is>
      </c>
      <c r="H201" t="inlineStr">
        <is>
          <t>Mass production</t>
        </is>
      </c>
      <c r="I201" t="n">
        <v>1</v>
      </c>
      <c r="J201" t="n">
        <v>8000</v>
      </c>
      <c r="K201" t="n">
        <v>10.04</v>
      </c>
      <c r="L201" t="n">
        <v>5</v>
      </c>
      <c r="M201" t="n">
        <v>80320</v>
      </c>
      <c r="N201" t="n">
        <v>401600</v>
      </c>
      <c r="O201" t="n">
        <v>401600</v>
      </c>
      <c r="P201" t="inlineStr">
        <is>
          <t>2025-05-31</t>
        </is>
      </c>
      <c r="Q201" t="inlineStr">
        <is>
          <t>2026-03-30</t>
        </is>
      </c>
      <c r="R201" t="n">
        <v>115</v>
      </c>
      <c r="S201" t="inlineStr">
        <is>
          <t>Technical review call</t>
        </is>
      </c>
      <c r="T201" t="inlineStr">
        <is>
          <t>Distributor</t>
        </is>
      </c>
      <c r="U201" t="inlineStr"/>
      <c r="V201">
        <f>IF(S201="",1,0)</f>
        <v/>
      </c>
      <c r="W201">
        <f>IF(J201="",1,0)</f>
        <v/>
      </c>
      <c r="X201">
        <f>IF(F201="",1,0)</f>
        <v/>
      </c>
      <c r="Y201">
        <f>IF(AND(AND(H201&lt;&gt;"Mass production",H201&lt;&gt;"Lost"),DATEVALUE(Q201)&lt;DATE(2026,10,20)),1,0)</f>
        <v/>
      </c>
      <c r="Z201">
        <f>IF(AND(AND(H201&lt;&gt;"Mass production",H201&lt;&gt;"Lost"),R201&gt;30),1,0)</f>
        <v/>
      </c>
      <c r="AA201">
        <f>IF(COUNTIFS($G$2:$G$247,G201,$F$2:$F$247,F201,$J$2:$J$247,J201,$K$2:$K$247,K201)&gt;1,1,0)</f>
        <v/>
      </c>
      <c r="AB201">
        <f>SUM(V201:AA201)</f>
        <v/>
      </c>
    </row>
    <row r="202">
      <c r="A202" t="inlineStr">
        <is>
          <t>OPP-26200</t>
        </is>
      </c>
      <c r="B202" t="inlineStr">
        <is>
          <t>Zenit Telematics</t>
        </is>
      </c>
      <c r="C202" t="inlineStr">
        <is>
          <t>UK &amp; Ireland</t>
        </is>
      </c>
      <c r="D202" t="inlineStr">
        <is>
          <t>Ireland</t>
        </is>
      </c>
      <c r="E202" t="inlineStr">
        <is>
          <t>R. Patel</t>
        </is>
      </c>
      <c r="F202" t="inlineStr">
        <is>
          <t>Healthcare</t>
        </is>
      </c>
      <c r="G202" t="inlineStr">
        <is>
          <t>Wi-Fi / Bluetooth</t>
        </is>
      </c>
      <c r="H202" t="inlineStr">
        <is>
          <t>Mass production</t>
        </is>
      </c>
      <c r="I202" t="n">
        <v>1</v>
      </c>
      <c r="J202" t="n">
        <v>15000</v>
      </c>
      <c r="K202" t="n">
        <v>5.69</v>
      </c>
      <c r="L202" t="n">
        <v>2</v>
      </c>
      <c r="M202" t="n">
        <v>85350</v>
      </c>
      <c r="N202" t="n">
        <v>170700</v>
      </c>
      <c r="O202" t="n">
        <v>170700</v>
      </c>
      <c r="P202" t="inlineStr">
        <is>
          <t>2026-02-15</t>
        </is>
      </c>
      <c r="Q202" t="inlineStr">
        <is>
          <t>2026-10-12</t>
        </is>
      </c>
      <c r="R202" t="n">
        <v>24</v>
      </c>
      <c r="S202" t="inlineStr">
        <is>
          <t>Pilot build follow-up</t>
        </is>
      </c>
      <c r="T202" t="inlineStr">
        <is>
          <t>Distributor</t>
        </is>
      </c>
      <c r="U202" t="inlineStr"/>
      <c r="V202">
        <f>IF(S202="",1,0)</f>
        <v/>
      </c>
      <c r="W202">
        <f>IF(J202="",1,0)</f>
        <v/>
      </c>
      <c r="X202">
        <f>IF(F202="",1,0)</f>
        <v/>
      </c>
      <c r="Y202">
        <f>IF(AND(AND(H202&lt;&gt;"Mass production",H202&lt;&gt;"Lost"),DATEVALUE(Q202)&lt;DATE(2026,10,20)),1,0)</f>
        <v/>
      </c>
      <c r="Z202">
        <f>IF(AND(AND(H202&lt;&gt;"Mass production",H202&lt;&gt;"Lost"),R202&gt;30),1,0)</f>
        <v/>
      </c>
      <c r="AA202">
        <f>IF(COUNTIFS($G$2:$G$247,G202,$F$2:$F$247,F202,$J$2:$J$247,J202,$K$2:$K$247,K202)&gt;1,1,0)</f>
        <v/>
      </c>
      <c r="AB202">
        <f>SUM(V202:AA202)</f>
        <v/>
      </c>
    </row>
    <row r="203">
      <c r="A203" t="inlineStr">
        <is>
          <t>OPP-26201</t>
        </is>
      </c>
      <c r="B203" t="inlineStr">
        <is>
          <t>Arcturus Telematics</t>
        </is>
      </c>
      <c r="C203" t="inlineStr">
        <is>
          <t>UK &amp; Ireland</t>
        </is>
      </c>
      <c r="D203" t="inlineStr">
        <is>
          <t>Ireland</t>
        </is>
      </c>
      <c r="E203" t="inlineStr">
        <is>
          <t>R. Patel</t>
        </is>
      </c>
      <c r="F203" t="inlineStr">
        <is>
          <t>POS &amp; payments</t>
        </is>
      </c>
      <c r="G203" t="inlineStr">
        <is>
          <t>Wi-Fi / Bluetooth</t>
        </is>
      </c>
      <c r="H203" t="inlineStr">
        <is>
          <t>Design-in</t>
        </is>
      </c>
      <c r="I203" t="n">
        <v>0.4</v>
      </c>
      <c r="J203" t="n">
        <v>80000</v>
      </c>
      <c r="K203" t="n">
        <v>4.72</v>
      </c>
      <c r="L203" t="n">
        <v>5</v>
      </c>
      <c r="M203" t="n">
        <v>377600</v>
      </c>
      <c r="N203" t="n">
        <v>1888000</v>
      </c>
      <c r="O203" t="n">
        <v>755200</v>
      </c>
      <c r="P203" t="inlineStr">
        <is>
          <t>2026-07-20</t>
        </is>
      </c>
      <c r="Q203" t="inlineStr">
        <is>
          <t>2027-05-09</t>
        </is>
      </c>
      <c r="R203" t="n">
        <v>14</v>
      </c>
      <c r="S203" t="inlineStr">
        <is>
          <t>Design review</t>
        </is>
      </c>
      <c r="T203" t="inlineStr">
        <is>
          <t>Direct</t>
        </is>
      </c>
      <c r="U203" t="inlineStr"/>
      <c r="V203">
        <f>IF(S203="",1,0)</f>
        <v/>
      </c>
      <c r="W203">
        <f>IF(J203="",1,0)</f>
        <v/>
      </c>
      <c r="X203">
        <f>IF(F203="",1,0)</f>
        <v/>
      </c>
      <c r="Y203">
        <f>IF(AND(AND(H203&lt;&gt;"Mass production",H203&lt;&gt;"Lost"),DATEVALUE(Q203)&lt;DATE(2026,10,20)),1,0)</f>
        <v/>
      </c>
      <c r="Z203">
        <f>IF(AND(AND(H203&lt;&gt;"Mass production",H203&lt;&gt;"Lost"),R203&gt;30),1,0)</f>
        <v/>
      </c>
      <c r="AA203">
        <f>IF(COUNTIFS($G$2:$G$247,G203,$F$2:$F$247,F203,$J$2:$J$247,J203,$K$2:$K$247,K203)&gt;1,1,0)</f>
        <v/>
      </c>
      <c r="AB203">
        <f>SUM(V203:AA203)</f>
        <v/>
      </c>
    </row>
    <row r="204">
      <c r="A204" t="inlineStr">
        <is>
          <t>OPP-26202</t>
        </is>
      </c>
      <c r="B204" t="inlineStr">
        <is>
          <t>Helix Tracking</t>
        </is>
      </c>
      <c r="C204" t="inlineStr">
        <is>
          <t>UK &amp; Ireland</t>
        </is>
      </c>
      <c r="D204" t="inlineStr">
        <is>
          <t>United Kingdom</t>
        </is>
      </c>
      <c r="E204" t="inlineStr">
        <is>
          <t>S. Clarke</t>
        </is>
      </c>
      <c r="F204" t="inlineStr">
        <is>
          <t>Healthcare</t>
        </is>
      </c>
      <c r="G204" t="inlineStr">
        <is>
          <t>LTE Cat 1 bis</t>
        </is>
      </c>
      <c r="H204" t="inlineStr">
        <is>
          <t>Lost</t>
        </is>
      </c>
      <c r="I204" t="n">
        <v>0</v>
      </c>
      <c r="J204" t="n">
        <v>80000</v>
      </c>
      <c r="K204" t="n">
        <v>8.93</v>
      </c>
      <c r="L204" t="n">
        <v>4</v>
      </c>
      <c r="M204" t="n">
        <v>714400</v>
      </c>
      <c r="N204" t="n">
        <v>2857600</v>
      </c>
      <c r="O204" t="n">
        <v>0</v>
      </c>
      <c r="P204" t="inlineStr">
        <is>
          <t>2026-05-07</t>
        </is>
      </c>
      <c r="Q204" t="inlineStr">
        <is>
          <t>2026-09-22</t>
        </is>
      </c>
      <c r="R204" t="n">
        <v>11</v>
      </c>
      <c r="S204" t="inlineStr">
        <is>
          <t>Send samples</t>
        </is>
      </c>
      <c r="T204" t="inlineStr">
        <is>
          <t>Direct</t>
        </is>
      </c>
      <c r="U204" t="inlineStr">
        <is>
          <t>Project cancelled</t>
        </is>
      </c>
      <c r="V204">
        <f>IF(S204="",1,0)</f>
        <v/>
      </c>
      <c r="W204">
        <f>IF(J204="",1,0)</f>
        <v/>
      </c>
      <c r="X204">
        <f>IF(F204="",1,0)</f>
        <v/>
      </c>
      <c r="Y204">
        <f>IF(AND(AND(H204&lt;&gt;"Mass production",H204&lt;&gt;"Lost"),DATEVALUE(Q204)&lt;DATE(2026,10,20)),1,0)</f>
        <v/>
      </c>
      <c r="Z204">
        <f>IF(AND(AND(H204&lt;&gt;"Mass production",H204&lt;&gt;"Lost"),R204&gt;30),1,0)</f>
        <v/>
      </c>
      <c r="AA204">
        <f>IF(COUNTIFS($G$2:$G$247,G204,$F$2:$F$247,F204,$J$2:$J$247,J204,$K$2:$K$247,K204)&gt;1,1,0)</f>
        <v/>
      </c>
      <c r="AB204">
        <f>SUM(V204:AA204)</f>
        <v/>
      </c>
    </row>
    <row r="205">
      <c r="A205" t="inlineStr">
        <is>
          <t>OPP-26203</t>
        </is>
      </c>
      <c r="B205" t="inlineStr">
        <is>
          <t>Vector Metering</t>
        </is>
      </c>
      <c r="C205" t="inlineStr">
        <is>
          <t>DACH</t>
        </is>
      </c>
      <c r="D205" t="inlineStr">
        <is>
          <t>Germany</t>
        </is>
      </c>
      <c r="E205" t="inlineStr">
        <is>
          <t>L. Hoffmann</t>
        </is>
      </c>
      <c r="F205" t="inlineStr">
        <is>
          <t>Smart metering</t>
        </is>
      </c>
      <c r="G205" t="inlineStr">
        <is>
          <t>5G eMBB</t>
        </is>
      </c>
      <c r="H205" t="inlineStr">
        <is>
          <t>Design-in</t>
        </is>
      </c>
      <c r="I205" t="n">
        <v>0.4</v>
      </c>
      <c r="J205" t="n">
        <v>3000</v>
      </c>
      <c r="K205" t="n">
        <v>111.93</v>
      </c>
      <c r="L205" t="n">
        <v>3</v>
      </c>
      <c r="M205" t="n">
        <v>335790</v>
      </c>
      <c r="N205" t="n">
        <v>1007370</v>
      </c>
      <c r="O205" t="n">
        <v>402948</v>
      </c>
      <c r="P205" t="inlineStr">
        <is>
          <t>2025-07-13</t>
        </is>
      </c>
      <c r="Q205" t="inlineStr">
        <is>
          <t>2027-07-31</t>
        </is>
      </c>
      <c r="R205" t="n">
        <v>85</v>
      </c>
      <c r="S205" t="inlineStr">
        <is>
          <t>Send samples</t>
        </is>
      </c>
      <c r="T205" t="inlineStr">
        <is>
          <t>Distributor</t>
        </is>
      </c>
      <c r="U205" t="inlineStr"/>
      <c r="V205">
        <f>IF(S205="",1,0)</f>
        <v/>
      </c>
      <c r="W205">
        <f>IF(J205="",1,0)</f>
        <v/>
      </c>
      <c r="X205">
        <f>IF(F205="",1,0)</f>
        <v/>
      </c>
      <c r="Y205">
        <f>IF(AND(AND(H205&lt;&gt;"Mass production",H205&lt;&gt;"Lost"),DATEVALUE(Q205)&lt;DATE(2026,10,20)),1,0)</f>
        <v/>
      </c>
      <c r="Z205">
        <f>IF(AND(AND(H205&lt;&gt;"Mass production",H205&lt;&gt;"Lost"),R205&gt;30),1,0)</f>
        <v/>
      </c>
      <c r="AA205">
        <f>IF(COUNTIFS($G$2:$G$247,G205,$F$2:$F$247,F205,$J$2:$J$247,J205,$K$2:$K$247,K205)&gt;1,1,0)</f>
        <v/>
      </c>
      <c r="AB205">
        <f>SUM(V205:AA205)</f>
        <v/>
      </c>
    </row>
    <row r="206">
      <c r="A206" t="inlineStr">
        <is>
          <t>OPP-26204</t>
        </is>
      </c>
      <c r="B206" t="inlineStr">
        <is>
          <t>Arcturus Devices</t>
        </is>
      </c>
      <c r="C206" t="inlineStr">
        <is>
          <t>DACH</t>
        </is>
      </c>
      <c r="D206" t="inlineStr">
        <is>
          <t>Germany</t>
        </is>
      </c>
      <c r="E206" t="inlineStr">
        <is>
          <t>L. Hoffmann</t>
        </is>
      </c>
      <c r="F206" t="inlineStr">
        <is>
          <t>POS &amp; payments</t>
        </is>
      </c>
      <c r="G206" t="inlineStr">
        <is>
          <t>Wi-Fi / Bluetooth</t>
        </is>
      </c>
      <c r="H206" t="inlineStr">
        <is>
          <t>Lost</t>
        </is>
      </c>
      <c r="I206" t="n">
        <v>0</v>
      </c>
      <c r="J206" t="n">
        <v>8000</v>
      </c>
      <c r="K206" t="n">
        <v>5.42</v>
      </c>
      <c r="L206" t="n">
        <v>2</v>
      </c>
      <c r="M206" t="n">
        <v>43360</v>
      </c>
      <c r="N206" t="n">
        <v>86720</v>
      </c>
      <c r="O206" t="n">
        <v>0</v>
      </c>
      <c r="P206" t="inlineStr">
        <is>
          <t>2026-09-26</t>
        </is>
      </c>
      <c r="Q206" t="inlineStr">
        <is>
          <t>2026-10-12</t>
        </is>
      </c>
      <c r="R206" t="n">
        <v>11</v>
      </c>
      <c r="S206" t="inlineStr">
        <is>
          <t>Quote revision</t>
        </is>
      </c>
      <c r="T206" t="inlineStr">
        <is>
          <t>Direct</t>
        </is>
      </c>
      <c r="U206" t="inlineStr">
        <is>
          <t>Price</t>
        </is>
      </c>
      <c r="V206">
        <f>IF(S206="",1,0)</f>
        <v/>
      </c>
      <c r="W206">
        <f>IF(J206="",1,0)</f>
        <v/>
      </c>
      <c r="X206">
        <f>IF(F206="",1,0)</f>
        <v/>
      </c>
      <c r="Y206">
        <f>IF(AND(AND(H206&lt;&gt;"Mass production",H206&lt;&gt;"Lost"),DATEVALUE(Q206)&lt;DATE(2026,10,20)),1,0)</f>
        <v/>
      </c>
      <c r="Z206">
        <f>IF(AND(AND(H206&lt;&gt;"Mass production",H206&lt;&gt;"Lost"),R206&gt;30),1,0)</f>
        <v/>
      </c>
      <c r="AA206">
        <f>IF(COUNTIFS($G$2:$G$247,G206,$F$2:$F$247,F206,$J$2:$J$247,J206,$K$2:$K$247,K206)&gt;1,1,0)</f>
        <v/>
      </c>
      <c r="AB206">
        <f>SUM(V206:AA206)</f>
        <v/>
      </c>
    </row>
    <row r="207">
      <c r="A207" t="inlineStr">
        <is>
          <t>OPP-26205</t>
        </is>
      </c>
      <c r="B207" t="inlineStr">
        <is>
          <t>Quorra Health</t>
        </is>
      </c>
      <c r="C207" t="inlineStr">
        <is>
          <t>Southern Europe</t>
        </is>
      </c>
      <c r="D207" t="inlineStr">
        <is>
          <t>Italy</t>
        </is>
      </c>
      <c r="E207" t="inlineStr">
        <is>
          <t>M. Rossi</t>
        </is>
      </c>
      <c r="F207" t="inlineStr">
        <is>
          <t>Smart home &amp; security</t>
        </is>
      </c>
      <c r="G207" t="inlineStr">
        <is>
          <t>GNSS</t>
        </is>
      </c>
      <c r="H207" t="inlineStr">
        <is>
          <t>Design-in</t>
        </is>
      </c>
      <c r="I207" t="n">
        <v>0.4</v>
      </c>
      <c r="J207" t="n">
        <v>15000</v>
      </c>
      <c r="K207" t="n">
        <v>6.78</v>
      </c>
      <c r="L207" t="n">
        <v>4</v>
      </c>
      <c r="M207" t="n">
        <v>101700</v>
      </c>
      <c r="N207" t="n">
        <v>406800</v>
      </c>
      <c r="O207" t="n">
        <v>162720</v>
      </c>
      <c r="P207" t="inlineStr">
        <is>
          <t>2026-05-16</t>
        </is>
      </c>
      <c r="Q207" t="inlineStr">
        <is>
          <t>2027-03-04</t>
        </is>
      </c>
      <c r="R207" t="n">
        <v>30</v>
      </c>
      <c r="S207" t="inlineStr">
        <is>
          <t>Send samples</t>
        </is>
      </c>
      <c r="T207" t="inlineStr">
        <is>
          <t>Direct</t>
        </is>
      </c>
      <c r="U207" t="inlineStr"/>
      <c r="V207">
        <f>IF(S207="",1,0)</f>
        <v/>
      </c>
      <c r="W207">
        <f>IF(J207="",1,0)</f>
        <v/>
      </c>
      <c r="X207">
        <f>IF(F207="",1,0)</f>
        <v/>
      </c>
      <c r="Y207">
        <f>IF(AND(AND(H207&lt;&gt;"Mass production",H207&lt;&gt;"Lost"),DATEVALUE(Q207)&lt;DATE(2026,10,20)),1,0)</f>
        <v/>
      </c>
      <c r="Z207">
        <f>IF(AND(AND(H207&lt;&gt;"Mass production",H207&lt;&gt;"Lost"),R207&gt;30),1,0)</f>
        <v/>
      </c>
      <c r="AA207">
        <f>IF(COUNTIFS($G$2:$G$247,G207,$F$2:$F$247,F207,$J$2:$J$247,J207,$K$2:$K$247,K207)&gt;1,1,0)</f>
        <v/>
      </c>
      <c r="AB207">
        <f>SUM(V207:AA207)</f>
        <v/>
      </c>
    </row>
    <row r="208">
      <c r="A208" t="inlineStr">
        <is>
          <t>OPP-26206</t>
        </is>
      </c>
      <c r="B208" t="inlineStr">
        <is>
          <t>Quorra Electronics</t>
        </is>
      </c>
      <c r="C208" t="inlineStr">
        <is>
          <t>DACH</t>
        </is>
      </c>
      <c r="D208" t="inlineStr">
        <is>
          <t>Austria</t>
        </is>
      </c>
      <c r="E208" t="inlineStr">
        <is>
          <t>L. Hoffmann</t>
        </is>
      </c>
      <c r="F208" t="inlineStr">
        <is>
          <t>Smart metering</t>
        </is>
      </c>
      <c r="G208" t="inlineStr">
        <is>
          <t>5G RedCap</t>
        </is>
      </c>
      <c r="H208" t="inlineStr">
        <is>
          <t>Qualified</t>
        </is>
      </c>
      <c r="I208" t="n">
        <v>0.1</v>
      </c>
      <c r="J208" t="n">
        <v>5000</v>
      </c>
      <c r="K208" t="n">
        <v>52.15</v>
      </c>
      <c r="L208" t="n">
        <v>2</v>
      </c>
      <c r="M208" t="n">
        <v>260750</v>
      </c>
      <c r="N208" t="n">
        <v>521500</v>
      </c>
      <c r="O208" t="n">
        <v>52150</v>
      </c>
      <c r="P208" t="inlineStr">
        <is>
          <t>2025-09-20</t>
        </is>
      </c>
      <c r="Q208" t="inlineStr">
        <is>
          <t>2027-09-09</t>
        </is>
      </c>
      <c r="R208" t="n">
        <v>79</v>
      </c>
      <c r="S208" t="inlineStr">
        <is>
          <t>Send samples</t>
        </is>
      </c>
      <c r="T208" t="inlineStr">
        <is>
          <t>Tradeshow</t>
        </is>
      </c>
      <c r="U208" t="inlineStr"/>
      <c r="V208">
        <f>IF(S208="",1,0)</f>
        <v/>
      </c>
      <c r="W208">
        <f>IF(J208="",1,0)</f>
        <v/>
      </c>
      <c r="X208">
        <f>IF(F208="",1,0)</f>
        <v/>
      </c>
      <c r="Y208">
        <f>IF(AND(AND(H208&lt;&gt;"Mass production",H208&lt;&gt;"Lost"),DATEVALUE(Q208)&lt;DATE(2026,10,20)),1,0)</f>
        <v/>
      </c>
      <c r="Z208">
        <f>IF(AND(AND(H208&lt;&gt;"Mass production",H208&lt;&gt;"Lost"),R208&gt;30),1,0)</f>
        <v/>
      </c>
      <c r="AA208">
        <f>IF(COUNTIFS($G$2:$G$247,G208,$F$2:$F$247,F208,$J$2:$J$247,J208,$K$2:$K$247,K208)&gt;1,1,0)</f>
        <v/>
      </c>
      <c r="AB208">
        <f>SUM(V208:AA208)</f>
        <v/>
      </c>
    </row>
    <row r="209">
      <c r="A209" t="inlineStr">
        <is>
          <t>OPP-26207</t>
        </is>
      </c>
      <c r="B209" t="inlineStr">
        <is>
          <t>Zenit Energy</t>
        </is>
      </c>
      <c r="C209" t="inlineStr">
        <is>
          <t>CEE</t>
        </is>
      </c>
      <c r="D209" t="inlineStr">
        <is>
          <t>Poland</t>
        </is>
      </c>
      <c r="E209" t="inlineStr">
        <is>
          <t>K. Nowak</t>
        </is>
      </c>
      <c r="F209" t="inlineStr">
        <is>
          <t>POS &amp; payments</t>
        </is>
      </c>
      <c r="G209" t="inlineStr">
        <is>
          <t>5G RedCap</t>
        </is>
      </c>
      <c r="H209" t="inlineStr">
        <is>
          <t>Lead</t>
        </is>
      </c>
      <c r="I209" t="n">
        <v>0.05</v>
      </c>
      <c r="J209" t="n">
        <v>20000</v>
      </c>
      <c r="K209" t="n">
        <v>48</v>
      </c>
      <c r="L209" t="n">
        <v>2</v>
      </c>
      <c r="M209" t="n">
        <v>960000</v>
      </c>
      <c r="N209" t="n">
        <v>1920000</v>
      </c>
      <c r="O209" t="n">
        <v>96000</v>
      </c>
      <c r="P209" t="inlineStr">
        <is>
          <t>2025-03-19</t>
        </is>
      </c>
      <c r="Q209" t="inlineStr">
        <is>
          <t>2027-01-17</t>
        </is>
      </c>
      <c r="R209" t="n">
        <v>19</v>
      </c>
      <c r="S209" t="inlineStr">
        <is>
          <t>Design review</t>
        </is>
      </c>
      <c r="T209" t="inlineStr">
        <is>
          <t>Tradeshow</t>
        </is>
      </c>
      <c r="U209" t="inlineStr"/>
      <c r="V209">
        <f>IF(S209="",1,0)</f>
        <v/>
      </c>
      <c r="W209">
        <f>IF(J209="",1,0)</f>
        <v/>
      </c>
      <c r="X209">
        <f>IF(F209="",1,0)</f>
        <v/>
      </c>
      <c r="Y209">
        <f>IF(AND(AND(H209&lt;&gt;"Mass production",H209&lt;&gt;"Lost"),DATEVALUE(Q209)&lt;DATE(2026,10,20)),1,0)</f>
        <v/>
      </c>
      <c r="Z209">
        <f>IF(AND(AND(H209&lt;&gt;"Mass production",H209&lt;&gt;"Lost"),R209&gt;30),1,0)</f>
        <v/>
      </c>
      <c r="AA209">
        <f>IF(COUNTIFS($G$2:$G$247,G209,$F$2:$F$247,F209,$J$2:$J$247,J209,$K$2:$K$247,K209)&gt;1,1,0)</f>
        <v/>
      </c>
      <c r="AB209">
        <f>SUM(V209:AA209)</f>
        <v/>
      </c>
    </row>
    <row r="210">
      <c r="A210" t="inlineStr">
        <is>
          <t>OPP-26208</t>
        </is>
      </c>
      <c r="B210" t="inlineStr">
        <is>
          <t>Corvid Systems</t>
        </is>
      </c>
      <c r="C210" t="inlineStr">
        <is>
          <t>France &amp; Benelux</t>
        </is>
      </c>
      <c r="D210" t="inlineStr">
        <is>
          <t>Belgium</t>
        </is>
      </c>
      <c r="E210" t="inlineStr">
        <is>
          <t>C. Martin</t>
        </is>
      </c>
      <c r="F210" t="inlineStr">
        <is>
          <t>POS &amp; payments</t>
        </is>
      </c>
      <c r="G210" t="inlineStr">
        <is>
          <t>Smart module</t>
        </is>
      </c>
      <c r="H210" t="inlineStr">
        <is>
          <t>Design-win</t>
        </is>
      </c>
      <c r="I210" t="n">
        <v>0.7</v>
      </c>
      <c r="J210" t="n">
        <v>3000</v>
      </c>
      <c r="K210" t="n">
        <v>51.86</v>
      </c>
      <c r="L210" t="n">
        <v>5</v>
      </c>
      <c r="M210" t="n">
        <v>155580</v>
      </c>
      <c r="N210" t="n">
        <v>777900</v>
      </c>
      <c r="O210" t="n">
        <v>544530</v>
      </c>
      <c r="P210" t="inlineStr">
        <is>
          <t>2026-06-02</t>
        </is>
      </c>
      <c r="Q210" t="inlineStr">
        <is>
          <t>2027-02-01</t>
        </is>
      </c>
      <c r="R210" t="n">
        <v>1</v>
      </c>
      <c r="S210" t="inlineStr">
        <is>
          <t>Certification plan</t>
        </is>
      </c>
      <c r="T210" t="inlineStr">
        <is>
          <t>Distributor</t>
        </is>
      </c>
      <c r="U210" t="inlineStr"/>
      <c r="V210">
        <f>IF(S210="",1,0)</f>
        <v/>
      </c>
      <c r="W210">
        <f>IF(J210="",1,0)</f>
        <v/>
      </c>
      <c r="X210">
        <f>IF(F210="",1,0)</f>
        <v/>
      </c>
      <c r="Y210">
        <f>IF(AND(AND(H210&lt;&gt;"Mass production",H210&lt;&gt;"Lost"),DATEVALUE(Q210)&lt;DATE(2026,10,20)),1,0)</f>
        <v/>
      </c>
      <c r="Z210">
        <f>IF(AND(AND(H210&lt;&gt;"Mass production",H210&lt;&gt;"Lost"),R210&gt;30),1,0)</f>
        <v/>
      </c>
      <c r="AA210">
        <f>IF(COUNTIFS($G$2:$G$247,G210,$F$2:$F$247,F210,$J$2:$J$247,J210,$K$2:$K$247,K210)&gt;1,1,0)</f>
        <v/>
      </c>
      <c r="AB210">
        <f>SUM(V210:AA210)</f>
        <v/>
      </c>
    </row>
    <row r="211">
      <c r="A211" t="inlineStr">
        <is>
          <t>OPP-26209</t>
        </is>
      </c>
      <c r="B211" t="inlineStr">
        <is>
          <t>Quorra Energy</t>
        </is>
      </c>
      <c r="C211" t="inlineStr">
        <is>
          <t>France &amp; Benelux</t>
        </is>
      </c>
      <c r="D211" t="inlineStr">
        <is>
          <t>Belgium</t>
        </is>
      </c>
      <c r="E211" t="inlineStr">
        <is>
          <t>B. de Vries</t>
        </is>
      </c>
      <c r="F211" t="inlineStr">
        <is>
          <t>Asset tracking</t>
        </is>
      </c>
      <c r="G211" t="inlineStr">
        <is>
          <t>LTE-M / NB-IoT</t>
        </is>
      </c>
      <c r="H211" t="inlineStr">
        <is>
          <t>Lead</t>
        </is>
      </c>
      <c r="I211" t="n">
        <v>0.05</v>
      </c>
      <c r="J211" t="inlineStr"/>
      <c r="K211" t="n">
        <v>8.23</v>
      </c>
      <c r="L211" t="n">
        <v>3</v>
      </c>
      <c r="M211" t="n">
        <v>0</v>
      </c>
      <c r="N211" t="n">
        <v>0</v>
      </c>
      <c r="O211" t="n">
        <v>0</v>
      </c>
      <c r="P211" t="inlineStr">
        <is>
          <t>2026-02-02</t>
        </is>
      </c>
      <c r="Q211" t="inlineStr">
        <is>
          <t>2026-09-11</t>
        </is>
      </c>
      <c r="R211" t="n">
        <v>45</v>
      </c>
      <c r="S211" t="inlineStr">
        <is>
          <t>Technical review call</t>
        </is>
      </c>
      <c r="T211" t="inlineStr">
        <is>
          <t>Tradeshow</t>
        </is>
      </c>
      <c r="U211" t="inlineStr"/>
      <c r="V211">
        <f>IF(S211="",1,0)</f>
        <v/>
      </c>
      <c r="W211">
        <f>IF(J211="",1,0)</f>
        <v/>
      </c>
      <c r="X211">
        <f>IF(F211="",1,0)</f>
        <v/>
      </c>
      <c r="Y211">
        <f>IF(AND(AND(H211&lt;&gt;"Mass production",H211&lt;&gt;"Lost"),DATEVALUE(Q211)&lt;DATE(2026,10,20)),1,0)</f>
        <v/>
      </c>
      <c r="Z211">
        <f>IF(AND(AND(H211&lt;&gt;"Mass production",H211&lt;&gt;"Lost"),R211&gt;30),1,0)</f>
        <v/>
      </c>
      <c r="AA211">
        <f>IF(COUNTIFS($G$2:$G$247,G211,$F$2:$F$247,F211,$J$2:$J$247,J211,$K$2:$K$247,K211)&gt;1,1,0)</f>
        <v/>
      </c>
      <c r="AB211">
        <f>SUM(V211:AA211)</f>
        <v/>
      </c>
    </row>
    <row r="212">
      <c r="A212" t="inlineStr">
        <is>
          <t>OPP-26210</t>
        </is>
      </c>
      <c r="B212" t="inlineStr">
        <is>
          <t>Zenit Telematics</t>
        </is>
      </c>
      <c r="C212" t="inlineStr">
        <is>
          <t>UK &amp; Ireland</t>
        </is>
      </c>
      <c r="D212" t="inlineStr">
        <is>
          <t>Ireland</t>
        </is>
      </c>
      <c r="E212" t="inlineStr">
        <is>
          <t>R. Patel</t>
        </is>
      </c>
      <c r="F212" t="inlineStr">
        <is>
          <t>Healthcare</t>
        </is>
      </c>
      <c r="G212" t="inlineStr">
        <is>
          <t>LTE Cat 1 bis</t>
        </is>
      </c>
      <c r="H212" t="inlineStr">
        <is>
          <t>Qualified</t>
        </is>
      </c>
      <c r="I212" t="n">
        <v>0.1</v>
      </c>
      <c r="J212" t="inlineStr"/>
      <c r="K212" t="n">
        <v>9.76</v>
      </c>
      <c r="L212" t="n">
        <v>3</v>
      </c>
      <c r="M212" t="n">
        <v>0</v>
      </c>
      <c r="N212" t="n">
        <v>0</v>
      </c>
      <c r="O212" t="n">
        <v>0</v>
      </c>
      <c r="P212" t="inlineStr">
        <is>
          <t>2026-01-03</t>
        </is>
      </c>
      <c r="Q212" t="inlineStr">
        <is>
          <t>2027-05-05</t>
        </is>
      </c>
      <c r="R212" t="n">
        <v>53</v>
      </c>
      <c r="S212" t="inlineStr">
        <is>
          <t>Forecast confirmation</t>
        </is>
      </c>
      <c r="T212" t="inlineStr">
        <is>
          <t>Distributor</t>
        </is>
      </c>
      <c r="U212" t="inlineStr"/>
      <c r="V212">
        <f>IF(S212="",1,0)</f>
        <v/>
      </c>
      <c r="W212">
        <f>IF(J212="",1,0)</f>
        <v/>
      </c>
      <c r="X212">
        <f>IF(F212="",1,0)</f>
        <v/>
      </c>
      <c r="Y212">
        <f>IF(AND(AND(H212&lt;&gt;"Mass production",H212&lt;&gt;"Lost"),DATEVALUE(Q212)&lt;DATE(2026,10,20)),1,0)</f>
        <v/>
      </c>
      <c r="Z212">
        <f>IF(AND(AND(H212&lt;&gt;"Mass production",H212&lt;&gt;"Lost"),R212&gt;30),1,0)</f>
        <v/>
      </c>
      <c r="AA212">
        <f>IF(COUNTIFS($G$2:$G$247,G212,$F$2:$F$247,F212,$J$2:$J$247,J212,$K$2:$K$247,K212)&gt;1,1,0)</f>
        <v/>
      </c>
      <c r="AB212">
        <f>SUM(V212:AA212)</f>
        <v/>
      </c>
    </row>
    <row r="213">
      <c r="A213" t="inlineStr">
        <is>
          <t>OPP-26211</t>
        </is>
      </c>
      <c r="B213" t="inlineStr">
        <is>
          <t>Solent Devices</t>
        </is>
      </c>
      <c r="C213" t="inlineStr">
        <is>
          <t>Nordics</t>
        </is>
      </c>
      <c r="D213" t="inlineStr">
        <is>
          <t>Norway</t>
        </is>
      </c>
      <c r="E213" t="inlineStr">
        <is>
          <t>E. Lindqvist</t>
        </is>
      </c>
      <c r="F213" t="inlineStr">
        <is>
          <t>Asset tracking</t>
        </is>
      </c>
      <c r="G213" t="inlineStr">
        <is>
          <t>5G eMBB</t>
        </is>
      </c>
      <c r="H213" t="inlineStr">
        <is>
          <t>Lead</t>
        </is>
      </c>
      <c r="I213" t="n">
        <v>0.05</v>
      </c>
      <c r="J213" t="n">
        <v>5000</v>
      </c>
      <c r="K213" t="n">
        <v>121.48</v>
      </c>
      <c r="L213" t="n">
        <v>3</v>
      </c>
      <c r="M213" t="n">
        <v>607400</v>
      </c>
      <c r="N213" t="n">
        <v>1822200</v>
      </c>
      <c r="O213" t="n">
        <v>91110</v>
      </c>
      <c r="P213" t="inlineStr">
        <is>
          <t>2025-09-29</t>
        </is>
      </c>
      <c r="Q213" t="inlineStr">
        <is>
          <t>2027-12-11</t>
        </is>
      </c>
      <c r="R213" t="n">
        <v>7</v>
      </c>
      <c r="S213" t="inlineStr">
        <is>
          <t>Technical review call</t>
        </is>
      </c>
      <c r="T213" t="inlineStr">
        <is>
          <t>Distributor</t>
        </is>
      </c>
      <c r="U213" t="inlineStr"/>
      <c r="V213">
        <f>IF(S213="",1,0)</f>
        <v/>
      </c>
      <c r="W213">
        <f>IF(J213="",1,0)</f>
        <v/>
      </c>
      <c r="X213">
        <f>IF(F213="",1,0)</f>
        <v/>
      </c>
      <c r="Y213">
        <f>IF(AND(AND(H213&lt;&gt;"Mass production",H213&lt;&gt;"Lost"),DATEVALUE(Q213)&lt;DATE(2026,10,20)),1,0)</f>
        <v/>
      </c>
      <c r="Z213">
        <f>IF(AND(AND(H213&lt;&gt;"Mass production",H213&lt;&gt;"Lost"),R213&gt;30),1,0)</f>
        <v/>
      </c>
      <c r="AA213">
        <f>IF(COUNTIFS($G$2:$G$247,G213,$F$2:$F$247,F213,$J$2:$J$247,J213,$K$2:$K$247,K213)&gt;1,1,0)</f>
        <v/>
      </c>
      <c r="AB213">
        <f>SUM(V213:AA213)</f>
        <v/>
      </c>
    </row>
    <row r="214">
      <c r="A214" t="inlineStr">
        <is>
          <t>OPP-26212</t>
        </is>
      </c>
      <c r="B214" t="inlineStr">
        <is>
          <t>Corvid Systems</t>
        </is>
      </c>
      <c r="C214" t="inlineStr">
        <is>
          <t>France &amp; Benelux</t>
        </is>
      </c>
      <c r="D214" t="inlineStr">
        <is>
          <t>Belgium</t>
        </is>
      </c>
      <c r="E214" t="inlineStr">
        <is>
          <t>B. de Vries</t>
        </is>
      </c>
      <c r="F214" t="inlineStr">
        <is>
          <t>Telematics</t>
        </is>
      </c>
      <c r="G214" t="inlineStr">
        <is>
          <t>Smart module</t>
        </is>
      </c>
      <c r="H214" t="inlineStr">
        <is>
          <t>Mass production</t>
        </is>
      </c>
      <c r="I214" t="n">
        <v>1</v>
      </c>
      <c r="J214" t="n">
        <v>20000</v>
      </c>
      <c r="K214" t="n">
        <v>87.53</v>
      </c>
      <c r="L214" t="n">
        <v>3</v>
      </c>
      <c r="M214" t="n">
        <v>1750600</v>
      </c>
      <c r="N214" t="n">
        <v>5251800</v>
      </c>
      <c r="O214" t="n">
        <v>5251800</v>
      </c>
      <c r="P214" t="inlineStr">
        <is>
          <t>2026-06-07</t>
        </is>
      </c>
      <c r="Q214" t="inlineStr">
        <is>
          <t>2026-09-27</t>
        </is>
      </c>
      <c r="R214" t="n">
        <v>11</v>
      </c>
      <c r="S214" t="inlineStr">
        <is>
          <t>Quote revision</t>
        </is>
      </c>
      <c r="T214" t="inlineStr">
        <is>
          <t>Tradeshow</t>
        </is>
      </c>
      <c r="U214" t="inlineStr"/>
      <c r="V214">
        <f>IF(S214="",1,0)</f>
        <v/>
      </c>
      <c r="W214">
        <f>IF(J214="",1,0)</f>
        <v/>
      </c>
      <c r="X214">
        <f>IF(F214="",1,0)</f>
        <v/>
      </c>
      <c r="Y214">
        <f>IF(AND(AND(H214&lt;&gt;"Mass production",H214&lt;&gt;"Lost"),DATEVALUE(Q214)&lt;DATE(2026,10,20)),1,0)</f>
        <v/>
      </c>
      <c r="Z214">
        <f>IF(AND(AND(H214&lt;&gt;"Mass production",H214&lt;&gt;"Lost"),R214&gt;30),1,0)</f>
        <v/>
      </c>
      <c r="AA214">
        <f>IF(COUNTIFS($G$2:$G$247,G214,$F$2:$F$247,F214,$J$2:$J$247,J214,$K$2:$K$247,K214)&gt;1,1,0)</f>
        <v/>
      </c>
      <c r="AB214">
        <f>SUM(V214:AA214)</f>
        <v/>
      </c>
    </row>
    <row r="215">
      <c r="A215" t="inlineStr">
        <is>
          <t>OPP-26213</t>
        </is>
      </c>
      <c r="B215" t="inlineStr">
        <is>
          <t>Iberix Mobility</t>
        </is>
      </c>
      <c r="C215" t="inlineStr">
        <is>
          <t>DACH</t>
        </is>
      </c>
      <c r="D215" t="inlineStr">
        <is>
          <t>Austria</t>
        </is>
      </c>
      <c r="E215" t="inlineStr">
        <is>
          <t>L. Hoffmann</t>
        </is>
      </c>
      <c r="F215" t="inlineStr">
        <is>
          <t>Healthcare</t>
        </is>
      </c>
      <c r="G215" t="inlineStr">
        <is>
          <t>Smart module</t>
        </is>
      </c>
      <c r="H215" t="inlineStr">
        <is>
          <t>Lead</t>
        </is>
      </c>
      <c r="I215" t="n">
        <v>0.05</v>
      </c>
      <c r="J215" t="n">
        <v>5000</v>
      </c>
      <c r="K215" t="n">
        <v>89</v>
      </c>
      <c r="L215" t="n">
        <v>4</v>
      </c>
      <c r="M215" t="n">
        <v>445000</v>
      </c>
      <c r="N215" t="n">
        <v>1780000</v>
      </c>
      <c r="O215" t="n">
        <v>89000</v>
      </c>
      <c r="P215" t="inlineStr">
        <is>
          <t>2025-05-19</t>
        </is>
      </c>
      <c r="Q215" t="inlineStr">
        <is>
          <t>2026-11-06</t>
        </is>
      </c>
      <c r="R215" t="n">
        <v>14</v>
      </c>
      <c r="S215" t="inlineStr">
        <is>
          <t>Send samples</t>
        </is>
      </c>
      <c r="T215" t="inlineStr">
        <is>
          <t>Tradeshow</t>
        </is>
      </c>
      <c r="U215" t="inlineStr"/>
      <c r="V215">
        <f>IF(S215="",1,0)</f>
        <v/>
      </c>
      <c r="W215">
        <f>IF(J215="",1,0)</f>
        <v/>
      </c>
      <c r="X215">
        <f>IF(F215="",1,0)</f>
        <v/>
      </c>
      <c r="Y215">
        <f>IF(AND(AND(H215&lt;&gt;"Mass production",H215&lt;&gt;"Lost"),DATEVALUE(Q215)&lt;DATE(2026,10,20)),1,0)</f>
        <v/>
      </c>
      <c r="Z215">
        <f>IF(AND(AND(H215&lt;&gt;"Mass production",H215&lt;&gt;"Lost"),R215&gt;30),1,0)</f>
        <v/>
      </c>
      <c r="AA215">
        <f>IF(COUNTIFS($G$2:$G$247,G215,$F$2:$F$247,F215,$J$2:$J$247,J215,$K$2:$K$247,K215)&gt;1,1,0)</f>
        <v/>
      </c>
      <c r="AB215">
        <f>SUM(V215:AA215)</f>
        <v/>
      </c>
    </row>
    <row r="216">
      <c r="A216" t="inlineStr">
        <is>
          <t>OPP-26214</t>
        </is>
      </c>
      <c r="B216" t="inlineStr">
        <is>
          <t>Iberix Electronics</t>
        </is>
      </c>
      <c r="C216" t="inlineStr">
        <is>
          <t>Middle East &amp; Africa</t>
        </is>
      </c>
      <c r="D216" t="inlineStr">
        <is>
          <t>UAE</t>
        </is>
      </c>
      <c r="E216" t="inlineStr">
        <is>
          <t>O. Demir</t>
        </is>
      </c>
      <c r="F216" t="inlineStr">
        <is>
          <t>Asset tracking</t>
        </is>
      </c>
      <c r="G216" t="inlineStr">
        <is>
          <t>5G eMBB</t>
        </is>
      </c>
      <c r="H216" t="inlineStr">
        <is>
          <t>Pilot</t>
        </is>
      </c>
      <c r="I216" t="n">
        <v>0.85</v>
      </c>
      <c r="J216" t="n">
        <v>15000</v>
      </c>
      <c r="K216" t="n">
        <v>138.78</v>
      </c>
      <c r="L216" t="n">
        <v>5</v>
      </c>
      <c r="M216" t="n">
        <v>2081700</v>
      </c>
      <c r="N216" t="n">
        <v>10408500</v>
      </c>
      <c r="O216" t="n">
        <v>8847225</v>
      </c>
      <c r="P216" t="inlineStr">
        <is>
          <t>2025-04-13</t>
        </is>
      </c>
      <c r="Q216" t="inlineStr">
        <is>
          <t>2026-10-28</t>
        </is>
      </c>
      <c r="R216" t="n">
        <v>6</v>
      </c>
      <c r="S216" t="inlineStr">
        <is>
          <t>Send samples</t>
        </is>
      </c>
      <c r="T216" t="inlineStr">
        <is>
          <t>Direct</t>
        </is>
      </c>
      <c r="U216" t="inlineStr"/>
      <c r="V216">
        <f>IF(S216="",1,0)</f>
        <v/>
      </c>
      <c r="W216">
        <f>IF(J216="",1,0)</f>
        <v/>
      </c>
      <c r="X216">
        <f>IF(F216="",1,0)</f>
        <v/>
      </c>
      <c r="Y216">
        <f>IF(AND(AND(H216&lt;&gt;"Mass production",H216&lt;&gt;"Lost"),DATEVALUE(Q216)&lt;DATE(2026,10,20)),1,0)</f>
        <v/>
      </c>
      <c r="Z216">
        <f>IF(AND(AND(H216&lt;&gt;"Mass production",H216&lt;&gt;"Lost"),R216&gt;30),1,0)</f>
        <v/>
      </c>
      <c r="AA216">
        <f>IF(COUNTIFS($G$2:$G$247,G216,$F$2:$F$247,F216,$J$2:$J$247,J216,$K$2:$K$247,K216)&gt;1,1,0)</f>
        <v/>
      </c>
      <c r="AB216">
        <f>SUM(V216:AA216)</f>
        <v/>
      </c>
    </row>
    <row r="217">
      <c r="A217" t="inlineStr">
        <is>
          <t>OPP-26215</t>
        </is>
      </c>
      <c r="B217" t="inlineStr">
        <is>
          <t>Kestrel Industrial</t>
        </is>
      </c>
      <c r="C217" t="inlineStr">
        <is>
          <t>UK &amp; Ireland</t>
        </is>
      </c>
      <c r="D217" t="inlineStr">
        <is>
          <t>Ireland</t>
        </is>
      </c>
      <c r="E217" t="inlineStr">
        <is>
          <t>R. Patel</t>
        </is>
      </c>
      <c r="F217" t="inlineStr">
        <is>
          <t>Smart home &amp; security</t>
        </is>
      </c>
      <c r="G217" t="inlineStr">
        <is>
          <t>Wi-Fi / Bluetooth</t>
        </is>
      </c>
      <c r="H217" t="inlineStr">
        <is>
          <t>Mass production</t>
        </is>
      </c>
      <c r="I217" t="n">
        <v>1</v>
      </c>
      <c r="J217" t="n">
        <v>5000</v>
      </c>
      <c r="K217" t="n">
        <v>4.24</v>
      </c>
      <c r="L217" t="n">
        <v>2</v>
      </c>
      <c r="M217" t="n">
        <v>21200</v>
      </c>
      <c r="N217" t="n">
        <v>42400</v>
      </c>
      <c r="O217" t="n">
        <v>42400</v>
      </c>
      <c r="P217" t="inlineStr">
        <is>
          <t>2025-05-15</t>
        </is>
      </c>
      <c r="Q217" t="inlineStr">
        <is>
          <t>2026-02-23</t>
        </is>
      </c>
      <c r="R217" t="n">
        <v>5</v>
      </c>
      <c r="S217" t="inlineStr">
        <is>
          <t>Certification plan</t>
        </is>
      </c>
      <c r="T217" t="inlineStr">
        <is>
          <t>Direct</t>
        </is>
      </c>
      <c r="U217" t="inlineStr"/>
      <c r="V217">
        <f>IF(S217="",1,0)</f>
        <v/>
      </c>
      <c r="W217">
        <f>IF(J217="",1,0)</f>
        <v/>
      </c>
      <c r="X217">
        <f>IF(F217="",1,0)</f>
        <v/>
      </c>
      <c r="Y217">
        <f>IF(AND(AND(H217&lt;&gt;"Mass production",H217&lt;&gt;"Lost"),DATEVALUE(Q217)&lt;DATE(2026,10,20)),1,0)</f>
        <v/>
      </c>
      <c r="Z217">
        <f>IF(AND(AND(H217&lt;&gt;"Mass production",H217&lt;&gt;"Lost"),R217&gt;30),1,0)</f>
        <v/>
      </c>
      <c r="AA217">
        <f>IF(COUNTIFS($G$2:$G$247,G217,$F$2:$F$247,F217,$J$2:$J$247,J217,$K$2:$K$247,K217)&gt;1,1,0)</f>
        <v/>
      </c>
      <c r="AB217">
        <f>SUM(V217:AA217)</f>
        <v/>
      </c>
    </row>
    <row r="218">
      <c r="A218" t="inlineStr">
        <is>
          <t>OPP-26216</t>
        </is>
      </c>
      <c r="B218" t="inlineStr">
        <is>
          <t>Iberix Electronics</t>
        </is>
      </c>
      <c r="C218" t="inlineStr">
        <is>
          <t>Middle East &amp; Africa</t>
        </is>
      </c>
      <c r="D218" t="inlineStr">
        <is>
          <t>UAE</t>
        </is>
      </c>
      <c r="E218" t="inlineStr">
        <is>
          <t>Y. Cohen</t>
        </is>
      </c>
      <c r="F218" t="inlineStr">
        <is>
          <t>Automotive &amp; C-V2X</t>
        </is>
      </c>
      <c r="G218" t="inlineStr">
        <is>
          <t>Wi-Fi / Bluetooth</t>
        </is>
      </c>
      <c r="H218" t="inlineStr">
        <is>
          <t>Design-in</t>
        </is>
      </c>
      <c r="I218" t="n">
        <v>0.4</v>
      </c>
      <c r="J218" t="n">
        <v>15000</v>
      </c>
      <c r="K218" t="n">
        <v>4.24</v>
      </c>
      <c r="L218" t="n">
        <v>2</v>
      </c>
      <c r="M218" t="n">
        <v>63600</v>
      </c>
      <c r="N218" t="n">
        <v>127200</v>
      </c>
      <c r="O218" t="n">
        <v>50880</v>
      </c>
      <c r="P218" t="inlineStr">
        <is>
          <t>2025-05-09</t>
        </is>
      </c>
      <c r="Q218" t="inlineStr">
        <is>
          <t>2027-08-10</t>
        </is>
      </c>
      <c r="R218" t="n">
        <v>0</v>
      </c>
      <c r="S218" t="inlineStr">
        <is>
          <t>Pilot build follow-up</t>
        </is>
      </c>
      <c r="T218" t="inlineStr">
        <is>
          <t>FAE referral</t>
        </is>
      </c>
      <c r="U218" t="inlineStr"/>
      <c r="V218">
        <f>IF(S218="",1,0)</f>
        <v/>
      </c>
      <c r="W218">
        <f>IF(J218="",1,0)</f>
        <v/>
      </c>
      <c r="X218">
        <f>IF(F218="",1,0)</f>
        <v/>
      </c>
      <c r="Y218">
        <f>IF(AND(AND(H218&lt;&gt;"Mass production",H218&lt;&gt;"Lost"),DATEVALUE(Q218)&lt;DATE(2026,10,20)),1,0)</f>
        <v/>
      </c>
      <c r="Z218">
        <f>IF(AND(AND(H218&lt;&gt;"Mass production",H218&lt;&gt;"Lost"),R218&gt;30),1,0)</f>
        <v/>
      </c>
      <c r="AA218">
        <f>IF(COUNTIFS($G$2:$G$247,G218,$F$2:$F$247,F218,$J$2:$J$247,J218,$K$2:$K$247,K218)&gt;1,1,0)</f>
        <v/>
      </c>
      <c r="AB218">
        <f>SUM(V218:AA218)</f>
        <v/>
      </c>
    </row>
    <row r="219">
      <c r="A219" t="inlineStr">
        <is>
          <t>OPP-26217</t>
        </is>
      </c>
      <c r="B219" t="inlineStr">
        <is>
          <t>Lumen Connect</t>
        </is>
      </c>
      <c r="C219" t="inlineStr">
        <is>
          <t>DACH</t>
        </is>
      </c>
      <c r="D219" t="inlineStr">
        <is>
          <t>Austria</t>
        </is>
      </c>
      <c r="E219" t="inlineStr">
        <is>
          <t>L. Hoffmann</t>
        </is>
      </c>
      <c r="F219" t="inlineStr">
        <is>
          <t>Automotive &amp; C-V2X</t>
        </is>
      </c>
      <c r="G219" t="inlineStr">
        <is>
          <t>LTE Cat 1 bis</t>
        </is>
      </c>
      <c r="H219" t="inlineStr">
        <is>
          <t>Design-win</t>
        </is>
      </c>
      <c r="I219" t="n">
        <v>0.7</v>
      </c>
      <c r="J219" t="n">
        <v>2000</v>
      </c>
      <c r="K219" t="n">
        <v>8.77</v>
      </c>
      <c r="L219" t="n">
        <v>3</v>
      </c>
      <c r="M219" t="n">
        <v>17540</v>
      </c>
      <c r="N219" t="n">
        <v>52620</v>
      </c>
      <c r="O219" t="n">
        <v>36834</v>
      </c>
      <c r="P219" t="inlineStr">
        <is>
          <t>2025-06-22</t>
        </is>
      </c>
      <c r="Q219" t="inlineStr">
        <is>
          <t>2027-02-26</t>
        </is>
      </c>
      <c r="R219" t="n">
        <v>8</v>
      </c>
      <c r="S219" t="inlineStr">
        <is>
          <t>Technical review call</t>
        </is>
      </c>
      <c r="T219" t="inlineStr">
        <is>
          <t>Tradeshow</t>
        </is>
      </c>
      <c r="U219" t="inlineStr"/>
      <c r="V219">
        <f>IF(S219="",1,0)</f>
        <v/>
      </c>
      <c r="W219">
        <f>IF(J219="",1,0)</f>
        <v/>
      </c>
      <c r="X219">
        <f>IF(F219="",1,0)</f>
        <v/>
      </c>
      <c r="Y219">
        <f>IF(AND(AND(H219&lt;&gt;"Mass production",H219&lt;&gt;"Lost"),DATEVALUE(Q219)&lt;DATE(2026,10,20)),1,0)</f>
        <v/>
      </c>
      <c r="Z219">
        <f>IF(AND(AND(H219&lt;&gt;"Mass production",H219&lt;&gt;"Lost"),R219&gt;30),1,0)</f>
        <v/>
      </c>
      <c r="AA219">
        <f>IF(COUNTIFS($G$2:$G$247,G219,$F$2:$F$247,F219,$J$2:$J$247,J219,$K$2:$K$247,K219)&gt;1,1,0)</f>
        <v/>
      </c>
      <c r="AB219">
        <f>SUM(V219:AA219)</f>
        <v/>
      </c>
    </row>
    <row r="220">
      <c r="A220" t="inlineStr">
        <is>
          <t>OPP-26218</t>
        </is>
      </c>
      <c r="B220" t="inlineStr">
        <is>
          <t>Rhenus Health</t>
        </is>
      </c>
      <c r="C220" t="inlineStr">
        <is>
          <t>Nordics</t>
        </is>
      </c>
      <c r="D220" t="inlineStr">
        <is>
          <t>Finland</t>
        </is>
      </c>
      <c r="E220" t="inlineStr">
        <is>
          <t>E. Lindqvist</t>
        </is>
      </c>
      <c r="F220" t="inlineStr">
        <is>
          <t>Asset tracking</t>
        </is>
      </c>
      <c r="G220" t="inlineStr">
        <is>
          <t>Smart module</t>
        </is>
      </c>
      <c r="H220" t="inlineStr">
        <is>
          <t>Sample / Evaluation</t>
        </is>
      </c>
      <c r="I220" t="n">
        <v>0.2</v>
      </c>
      <c r="J220" t="n">
        <v>10000</v>
      </c>
      <c r="K220" t="n">
        <v>93.22</v>
      </c>
      <c r="L220" t="n">
        <v>5</v>
      </c>
      <c r="M220" t="n">
        <v>932200</v>
      </c>
      <c r="N220" t="n">
        <v>4661000</v>
      </c>
      <c r="O220" t="n">
        <v>932200</v>
      </c>
      <c r="P220" t="inlineStr">
        <is>
          <t>2025-04-14</t>
        </is>
      </c>
      <c r="Q220" t="inlineStr">
        <is>
          <t>2027-03-20</t>
        </is>
      </c>
      <c r="R220" t="n">
        <v>36</v>
      </c>
      <c r="S220" t="inlineStr">
        <is>
          <t>Design review</t>
        </is>
      </c>
      <c r="T220" t="inlineStr">
        <is>
          <t>Direct</t>
        </is>
      </c>
      <c r="U220" t="inlineStr"/>
      <c r="V220">
        <f>IF(S220="",1,0)</f>
        <v/>
      </c>
      <c r="W220">
        <f>IF(J220="",1,0)</f>
        <v/>
      </c>
      <c r="X220">
        <f>IF(F220="",1,0)</f>
        <v/>
      </c>
      <c r="Y220">
        <f>IF(AND(AND(H220&lt;&gt;"Mass production",H220&lt;&gt;"Lost"),DATEVALUE(Q220)&lt;DATE(2026,10,20)),1,0)</f>
        <v/>
      </c>
      <c r="Z220">
        <f>IF(AND(AND(H220&lt;&gt;"Mass production",H220&lt;&gt;"Lost"),R220&gt;30),1,0)</f>
        <v/>
      </c>
      <c r="AA220">
        <f>IF(COUNTIFS($G$2:$G$247,G220,$F$2:$F$247,F220,$J$2:$J$247,J220,$K$2:$K$247,K220)&gt;1,1,0)</f>
        <v/>
      </c>
      <c r="AB220">
        <f>SUM(V220:AA220)</f>
        <v/>
      </c>
    </row>
    <row r="221">
      <c r="A221" t="inlineStr">
        <is>
          <t>OPP-26219</t>
        </is>
      </c>
      <c r="B221" t="inlineStr">
        <is>
          <t>Danubia Labs</t>
        </is>
      </c>
      <c r="C221" t="inlineStr">
        <is>
          <t>CEE</t>
        </is>
      </c>
      <c r="D221" t="inlineStr">
        <is>
          <t>Hungary</t>
        </is>
      </c>
      <c r="E221" t="inlineStr">
        <is>
          <t>K. Nowak</t>
        </is>
      </c>
      <c r="F221" t="inlineStr">
        <is>
          <t>Telematics</t>
        </is>
      </c>
      <c r="G221" t="inlineStr">
        <is>
          <t>Wi-Fi / Bluetooth</t>
        </is>
      </c>
      <c r="H221" t="inlineStr">
        <is>
          <t>Qualified</t>
        </is>
      </c>
      <c r="I221" t="n">
        <v>0.1</v>
      </c>
      <c r="J221" t="n">
        <v>30000</v>
      </c>
      <c r="K221" t="n">
        <v>3.88</v>
      </c>
      <c r="L221" t="n">
        <v>3</v>
      </c>
      <c r="M221" t="n">
        <v>116400</v>
      </c>
      <c r="N221" t="n">
        <v>349200</v>
      </c>
      <c r="O221" t="n">
        <v>34920</v>
      </c>
      <c r="P221" t="inlineStr">
        <is>
          <t>2025-10-19</t>
        </is>
      </c>
      <c r="Q221" t="inlineStr">
        <is>
          <t>2026-11-04</t>
        </is>
      </c>
      <c r="R221" t="n">
        <v>36</v>
      </c>
      <c r="S221" t="inlineStr">
        <is>
          <t>Price negotiation</t>
        </is>
      </c>
      <c r="T221" t="inlineStr">
        <is>
          <t>Tradeshow</t>
        </is>
      </c>
      <c r="U221" t="inlineStr"/>
      <c r="V221">
        <f>IF(S221="",1,0)</f>
        <v/>
      </c>
      <c r="W221">
        <f>IF(J221="",1,0)</f>
        <v/>
      </c>
      <c r="X221">
        <f>IF(F221="",1,0)</f>
        <v/>
      </c>
      <c r="Y221">
        <f>IF(AND(AND(H221&lt;&gt;"Mass production",H221&lt;&gt;"Lost"),DATEVALUE(Q221)&lt;DATE(2026,10,20)),1,0)</f>
        <v/>
      </c>
      <c r="Z221">
        <f>IF(AND(AND(H221&lt;&gt;"Mass production",H221&lt;&gt;"Lost"),R221&gt;30),1,0)</f>
        <v/>
      </c>
      <c r="AA221">
        <f>IF(COUNTIFS($G$2:$G$247,G221,$F$2:$F$247,F221,$J$2:$J$247,J221,$K$2:$K$247,K221)&gt;1,1,0)</f>
        <v/>
      </c>
      <c r="AB221">
        <f>SUM(V221:AA221)</f>
        <v/>
      </c>
    </row>
    <row r="222">
      <c r="A222" t="inlineStr">
        <is>
          <t>OPP-26220</t>
        </is>
      </c>
      <c r="B222" t="inlineStr">
        <is>
          <t>Helix Tracking</t>
        </is>
      </c>
      <c r="C222" t="inlineStr">
        <is>
          <t>UK &amp; Ireland</t>
        </is>
      </c>
      <c r="D222" t="inlineStr">
        <is>
          <t>United Kingdom</t>
        </is>
      </c>
      <c r="E222" t="inlineStr">
        <is>
          <t>S. Clarke</t>
        </is>
      </c>
      <c r="F222" t="inlineStr">
        <is>
          <t>Automotive &amp; C-V2X</t>
        </is>
      </c>
      <c r="G222" t="inlineStr">
        <is>
          <t>5G RedCap</t>
        </is>
      </c>
      <c r="H222" t="inlineStr">
        <is>
          <t>Lost</t>
        </is>
      </c>
      <c r="I222" t="n">
        <v>0</v>
      </c>
      <c r="J222" t="n">
        <v>2000</v>
      </c>
      <c r="K222" t="n">
        <v>50.73</v>
      </c>
      <c r="L222" t="n">
        <v>5</v>
      </c>
      <c r="M222" t="n">
        <v>101460</v>
      </c>
      <c r="N222" t="n">
        <v>507300</v>
      </c>
      <c r="O222" t="n">
        <v>0</v>
      </c>
      <c r="P222" t="inlineStr">
        <is>
          <t>2025-07-14</t>
        </is>
      </c>
      <c r="Q222" t="inlineStr">
        <is>
          <t>2026-09-06</t>
        </is>
      </c>
      <c r="R222" t="n">
        <v>14</v>
      </c>
      <c r="S222" t="inlineStr">
        <is>
          <t>Design review</t>
        </is>
      </c>
      <c r="T222" t="inlineStr">
        <is>
          <t>Tradeshow</t>
        </is>
      </c>
      <c r="U222" t="inlineStr">
        <is>
          <t>Technical fit</t>
        </is>
      </c>
      <c r="V222">
        <f>IF(S222="",1,0)</f>
        <v/>
      </c>
      <c r="W222">
        <f>IF(J222="",1,0)</f>
        <v/>
      </c>
      <c r="X222">
        <f>IF(F222="",1,0)</f>
        <v/>
      </c>
      <c r="Y222">
        <f>IF(AND(AND(H222&lt;&gt;"Mass production",H222&lt;&gt;"Lost"),DATEVALUE(Q222)&lt;DATE(2026,10,20)),1,0)</f>
        <v/>
      </c>
      <c r="Z222">
        <f>IF(AND(AND(H222&lt;&gt;"Mass production",H222&lt;&gt;"Lost"),R222&gt;30),1,0)</f>
        <v/>
      </c>
      <c r="AA222">
        <f>IF(COUNTIFS($G$2:$G$247,G222,$F$2:$F$247,F222,$J$2:$J$247,J222,$K$2:$K$247,K222)&gt;1,1,0)</f>
        <v/>
      </c>
      <c r="AB222">
        <f>SUM(V222:AA222)</f>
        <v/>
      </c>
    </row>
    <row r="223">
      <c r="A223" t="inlineStr">
        <is>
          <t>OPP-26221</t>
        </is>
      </c>
      <c r="B223" t="inlineStr">
        <is>
          <t>Kestrel Industrial</t>
        </is>
      </c>
      <c r="C223" t="inlineStr">
        <is>
          <t>UK &amp; Ireland</t>
        </is>
      </c>
      <c r="D223" t="inlineStr">
        <is>
          <t>Ireland</t>
        </is>
      </c>
      <c r="E223" t="inlineStr">
        <is>
          <t>R. Patel</t>
        </is>
      </c>
      <c r="F223" t="inlineStr">
        <is>
          <t>Healthcare</t>
        </is>
      </c>
      <c r="G223" t="inlineStr">
        <is>
          <t>LTE-M / NB-IoT</t>
        </is>
      </c>
      <c r="H223" t="inlineStr">
        <is>
          <t>Lost</t>
        </is>
      </c>
      <c r="I223" t="n">
        <v>0</v>
      </c>
      <c r="J223" t="n">
        <v>8000</v>
      </c>
      <c r="K223" t="n">
        <v>8.44</v>
      </c>
      <c r="L223" t="n">
        <v>3</v>
      </c>
      <c r="M223" t="n">
        <v>67520</v>
      </c>
      <c r="N223" t="n">
        <v>202560</v>
      </c>
      <c r="O223" t="n">
        <v>0</v>
      </c>
      <c r="P223" t="inlineStr">
        <is>
          <t>2025-08-19</t>
        </is>
      </c>
      <c r="Q223" t="inlineStr">
        <is>
          <t>2026-06-10</t>
        </is>
      </c>
      <c r="R223" t="n">
        <v>7</v>
      </c>
      <c r="S223" t="inlineStr">
        <is>
          <t>Certification plan</t>
        </is>
      </c>
      <c r="T223" t="inlineStr">
        <is>
          <t>Direct</t>
        </is>
      </c>
      <c r="U223" t="inlineStr">
        <is>
          <t>Technical fit</t>
        </is>
      </c>
      <c r="V223">
        <f>IF(S223="",1,0)</f>
        <v/>
      </c>
      <c r="W223">
        <f>IF(J223="",1,0)</f>
        <v/>
      </c>
      <c r="X223">
        <f>IF(F223="",1,0)</f>
        <v/>
      </c>
      <c r="Y223">
        <f>IF(AND(AND(H223&lt;&gt;"Mass production",H223&lt;&gt;"Lost"),DATEVALUE(Q223)&lt;DATE(2026,10,20)),1,0)</f>
        <v/>
      </c>
      <c r="Z223">
        <f>IF(AND(AND(H223&lt;&gt;"Mass production",H223&lt;&gt;"Lost"),R223&gt;30),1,0)</f>
        <v/>
      </c>
      <c r="AA223">
        <f>IF(COUNTIFS($G$2:$G$247,G223,$F$2:$F$247,F223,$J$2:$J$247,J223,$K$2:$K$247,K223)&gt;1,1,0)</f>
        <v/>
      </c>
      <c r="AB223">
        <f>SUM(V223:AA223)</f>
        <v/>
      </c>
    </row>
    <row r="224">
      <c r="A224" t="inlineStr">
        <is>
          <t>OPP-26222</t>
        </is>
      </c>
      <c r="B224" t="inlineStr">
        <is>
          <t>Ferro Energy</t>
        </is>
      </c>
      <c r="C224" t="inlineStr">
        <is>
          <t>France &amp; Benelux</t>
        </is>
      </c>
      <c r="D224" t="inlineStr">
        <is>
          <t>Belgium</t>
        </is>
      </c>
      <c r="E224" t="inlineStr">
        <is>
          <t>B. de Vries</t>
        </is>
      </c>
      <c r="F224" t="inlineStr">
        <is>
          <t>Smart home &amp; security</t>
        </is>
      </c>
      <c r="G224" t="inlineStr">
        <is>
          <t>Smart module</t>
        </is>
      </c>
      <c r="H224" t="inlineStr">
        <is>
          <t>Sample / Evaluation</t>
        </is>
      </c>
      <c r="I224" t="n">
        <v>0.2</v>
      </c>
      <c r="J224" t="n">
        <v>5000</v>
      </c>
      <c r="K224" t="n">
        <v>51.63</v>
      </c>
      <c r="L224" t="n">
        <v>5</v>
      </c>
      <c r="M224" t="n">
        <v>258150</v>
      </c>
      <c r="N224" t="n">
        <v>1290750</v>
      </c>
      <c r="O224" t="n">
        <v>258150</v>
      </c>
      <c r="P224" t="inlineStr">
        <is>
          <t>2025-03-24</t>
        </is>
      </c>
      <c r="Q224" t="inlineStr">
        <is>
          <t>2027-08-31</t>
        </is>
      </c>
      <c r="R224" t="n">
        <v>25</v>
      </c>
      <c r="S224" t="inlineStr">
        <is>
          <t>Pilot build follow-up</t>
        </is>
      </c>
      <c r="T224" t="inlineStr">
        <is>
          <t>Website</t>
        </is>
      </c>
      <c r="U224" t="inlineStr"/>
      <c r="V224">
        <f>IF(S224="",1,0)</f>
        <v/>
      </c>
      <c r="W224">
        <f>IF(J224="",1,0)</f>
        <v/>
      </c>
      <c r="X224">
        <f>IF(F224="",1,0)</f>
        <v/>
      </c>
      <c r="Y224">
        <f>IF(AND(AND(H224&lt;&gt;"Mass production",H224&lt;&gt;"Lost"),DATEVALUE(Q224)&lt;DATE(2026,10,20)),1,0)</f>
        <v/>
      </c>
      <c r="Z224">
        <f>IF(AND(AND(H224&lt;&gt;"Mass production",H224&lt;&gt;"Lost"),R224&gt;30),1,0)</f>
        <v/>
      </c>
      <c r="AA224">
        <f>IF(COUNTIFS($G$2:$G$247,G224,$F$2:$F$247,F224,$J$2:$J$247,J224,$K$2:$K$247,K224)&gt;1,1,0)</f>
        <v/>
      </c>
      <c r="AB224">
        <f>SUM(V224:AA224)</f>
        <v/>
      </c>
    </row>
    <row r="225">
      <c r="A225" t="inlineStr">
        <is>
          <t>OPP-26223</t>
        </is>
      </c>
      <c r="B225" t="inlineStr">
        <is>
          <t>Arcturus Devices</t>
        </is>
      </c>
      <c r="C225" t="inlineStr">
        <is>
          <t>DACH</t>
        </is>
      </c>
      <c r="D225" t="inlineStr">
        <is>
          <t>Germany</t>
        </is>
      </c>
      <c r="E225" t="inlineStr">
        <is>
          <t>J. Weber</t>
        </is>
      </c>
      <c r="F225" t="inlineStr">
        <is>
          <t>Smart metering</t>
        </is>
      </c>
      <c r="G225" t="inlineStr">
        <is>
          <t>5G RedCap</t>
        </is>
      </c>
      <c r="H225" t="inlineStr">
        <is>
          <t>Design-in</t>
        </is>
      </c>
      <c r="I225" t="n">
        <v>0.4</v>
      </c>
      <c r="J225" t="n">
        <v>2000</v>
      </c>
      <c r="K225" t="n">
        <v>47.14</v>
      </c>
      <c r="L225" t="n">
        <v>2</v>
      </c>
      <c r="M225" t="n">
        <v>94280</v>
      </c>
      <c r="N225" t="n">
        <v>188560</v>
      </c>
      <c r="O225" t="n">
        <v>75424</v>
      </c>
      <c r="P225" t="inlineStr">
        <is>
          <t>2026-03-10</t>
        </is>
      </c>
      <c r="Q225" t="inlineStr">
        <is>
          <t>2027-01-24</t>
        </is>
      </c>
      <c r="R225" t="n">
        <v>20</v>
      </c>
      <c r="S225" t="inlineStr">
        <is>
          <t>Pilot build follow-up</t>
        </is>
      </c>
      <c r="T225" t="inlineStr">
        <is>
          <t>Direct</t>
        </is>
      </c>
      <c r="U225" t="inlineStr"/>
      <c r="V225">
        <f>IF(S225="",1,0)</f>
        <v/>
      </c>
      <c r="W225">
        <f>IF(J225="",1,0)</f>
        <v/>
      </c>
      <c r="X225">
        <f>IF(F225="",1,0)</f>
        <v/>
      </c>
      <c r="Y225">
        <f>IF(AND(AND(H225&lt;&gt;"Mass production",H225&lt;&gt;"Lost"),DATEVALUE(Q225)&lt;DATE(2026,10,20)),1,0)</f>
        <v/>
      </c>
      <c r="Z225">
        <f>IF(AND(AND(H225&lt;&gt;"Mass production",H225&lt;&gt;"Lost"),R225&gt;30),1,0)</f>
        <v/>
      </c>
      <c r="AA225">
        <f>IF(COUNTIFS($G$2:$G$247,G225,$F$2:$F$247,F225,$J$2:$J$247,J225,$K$2:$K$247,K225)&gt;1,1,0)</f>
        <v/>
      </c>
      <c r="AB225">
        <f>SUM(V225:AA225)</f>
        <v/>
      </c>
    </row>
    <row r="226">
      <c r="A226" t="inlineStr">
        <is>
          <t>OPP-26224</t>
        </is>
      </c>
      <c r="B226" t="inlineStr">
        <is>
          <t>Kestrel Health</t>
        </is>
      </c>
      <c r="C226" t="inlineStr">
        <is>
          <t>CEE</t>
        </is>
      </c>
      <c r="D226" t="inlineStr">
        <is>
          <t>Hungary</t>
        </is>
      </c>
      <c r="E226" t="inlineStr">
        <is>
          <t>D. Jovanovic</t>
        </is>
      </c>
      <c r="F226" t="inlineStr">
        <is>
          <t>Smart home &amp; security</t>
        </is>
      </c>
      <c r="G226" t="inlineStr">
        <is>
          <t>5G RedCap</t>
        </is>
      </c>
      <c r="H226" t="inlineStr">
        <is>
          <t>Mass production</t>
        </is>
      </c>
      <c r="I226" t="n">
        <v>1</v>
      </c>
      <c r="J226" t="n">
        <v>50000</v>
      </c>
      <c r="K226" t="n">
        <v>52.79</v>
      </c>
      <c r="L226" t="n">
        <v>3</v>
      </c>
      <c r="M226" t="n">
        <v>2639500</v>
      </c>
      <c r="N226" t="n">
        <v>7918500</v>
      </c>
      <c r="O226" t="n">
        <v>7918500</v>
      </c>
      <c r="P226" t="inlineStr">
        <is>
          <t>2025-03-05</t>
        </is>
      </c>
      <c r="Q226" t="inlineStr">
        <is>
          <t>2026-01-18</t>
        </is>
      </c>
      <c r="R226" t="n">
        <v>24</v>
      </c>
      <c r="S226" t="inlineStr">
        <is>
          <t>Design review</t>
        </is>
      </c>
      <c r="T226" t="inlineStr">
        <is>
          <t>FAE referral</t>
        </is>
      </c>
      <c r="U226" t="inlineStr"/>
      <c r="V226">
        <f>IF(S226="",1,0)</f>
        <v/>
      </c>
      <c r="W226">
        <f>IF(J226="",1,0)</f>
        <v/>
      </c>
      <c r="X226">
        <f>IF(F226="",1,0)</f>
        <v/>
      </c>
      <c r="Y226">
        <f>IF(AND(AND(H226&lt;&gt;"Mass production",H226&lt;&gt;"Lost"),DATEVALUE(Q226)&lt;DATE(2026,10,20)),1,0)</f>
        <v/>
      </c>
      <c r="Z226">
        <f>IF(AND(AND(H226&lt;&gt;"Mass production",H226&lt;&gt;"Lost"),R226&gt;30),1,0)</f>
        <v/>
      </c>
      <c r="AA226">
        <f>IF(COUNTIFS($G$2:$G$247,G226,$F$2:$F$247,F226,$J$2:$J$247,J226,$K$2:$K$247,K226)&gt;1,1,0)</f>
        <v/>
      </c>
      <c r="AB226">
        <f>SUM(V226:AA226)</f>
        <v/>
      </c>
    </row>
    <row r="227">
      <c r="A227" t="inlineStr">
        <is>
          <t>OPP-26225</t>
        </is>
      </c>
      <c r="B227" t="inlineStr">
        <is>
          <t>Meridian Electronics</t>
        </is>
      </c>
      <c r="C227" t="inlineStr">
        <is>
          <t>CEE</t>
        </is>
      </c>
      <c r="D227" t="inlineStr">
        <is>
          <t>Serbia</t>
        </is>
      </c>
      <c r="E227" t="inlineStr">
        <is>
          <t>K. Nowak</t>
        </is>
      </c>
      <c r="F227" t="inlineStr"/>
      <c r="G227" t="inlineStr">
        <is>
          <t>5G RedCap</t>
        </is>
      </c>
      <c r="H227" t="inlineStr">
        <is>
          <t>Lost</t>
        </is>
      </c>
      <c r="I227" t="n">
        <v>0</v>
      </c>
      <c r="J227" t="n">
        <v>10000</v>
      </c>
      <c r="K227" t="n">
        <v>38.31</v>
      </c>
      <c r="L227" t="n">
        <v>3</v>
      </c>
      <c r="M227" t="n">
        <v>383100</v>
      </c>
      <c r="N227" t="n">
        <v>1149300</v>
      </c>
      <c r="O227" t="n">
        <v>0</v>
      </c>
      <c r="P227" t="inlineStr">
        <is>
          <t>2025-07-04</t>
        </is>
      </c>
      <c r="Q227" t="inlineStr">
        <is>
          <t>2026-02-24</t>
        </is>
      </c>
      <c r="R227" t="n">
        <v>10</v>
      </c>
      <c r="S227" t="inlineStr">
        <is>
          <t>Pilot build follow-up</t>
        </is>
      </c>
      <c r="T227" t="inlineStr">
        <is>
          <t>Distributor</t>
        </is>
      </c>
      <c r="U227" t="inlineStr">
        <is>
          <t>Price</t>
        </is>
      </c>
      <c r="V227">
        <f>IF(S227="",1,0)</f>
        <v/>
      </c>
      <c r="W227">
        <f>IF(J227="",1,0)</f>
        <v/>
      </c>
      <c r="X227">
        <f>IF(F227="",1,0)</f>
        <v/>
      </c>
      <c r="Y227">
        <f>IF(AND(AND(H227&lt;&gt;"Mass production",H227&lt;&gt;"Lost"),DATEVALUE(Q227)&lt;DATE(2026,10,20)),1,0)</f>
        <v/>
      </c>
      <c r="Z227">
        <f>IF(AND(AND(H227&lt;&gt;"Mass production",H227&lt;&gt;"Lost"),R227&gt;30),1,0)</f>
        <v/>
      </c>
      <c r="AA227">
        <f>IF(COUNTIFS($G$2:$G$247,G227,$F$2:$F$247,F227,$J$2:$J$247,J227,$K$2:$K$247,K227)&gt;1,1,0)</f>
        <v/>
      </c>
      <c r="AB227">
        <f>SUM(V227:AA227)</f>
        <v/>
      </c>
    </row>
    <row r="228">
      <c r="A228" t="inlineStr">
        <is>
          <t>OPP-26226</t>
        </is>
      </c>
      <c r="B228" t="inlineStr">
        <is>
          <t>Sava Electronics</t>
        </is>
      </c>
      <c r="C228" t="inlineStr">
        <is>
          <t>UK &amp; Ireland</t>
        </is>
      </c>
      <c r="D228" t="inlineStr">
        <is>
          <t>United Kingdom</t>
        </is>
      </c>
      <c r="E228" t="inlineStr">
        <is>
          <t>S. Clarke</t>
        </is>
      </c>
      <c r="F228" t="inlineStr">
        <is>
          <t>Healthcare</t>
        </is>
      </c>
      <c r="G228" t="inlineStr">
        <is>
          <t>5G RedCap</t>
        </is>
      </c>
      <c r="H228" t="inlineStr">
        <is>
          <t>Pilot</t>
        </is>
      </c>
      <c r="I228" t="n">
        <v>0.85</v>
      </c>
      <c r="J228" t="n">
        <v>20000</v>
      </c>
      <c r="K228" t="n">
        <v>47.05</v>
      </c>
      <c r="L228" t="n">
        <v>3</v>
      </c>
      <c r="M228" t="n">
        <v>941000</v>
      </c>
      <c r="N228" t="n">
        <v>2823000</v>
      </c>
      <c r="O228" t="n">
        <v>2399550</v>
      </c>
      <c r="P228" t="inlineStr">
        <is>
          <t>2025-03-10</t>
        </is>
      </c>
      <c r="Q228" t="inlineStr">
        <is>
          <t>2026-09-21</t>
        </is>
      </c>
      <c r="R228" t="n">
        <v>105</v>
      </c>
      <c r="S228" t="inlineStr">
        <is>
          <t>Price negotiation</t>
        </is>
      </c>
      <c r="T228" t="inlineStr">
        <is>
          <t>Tradeshow</t>
        </is>
      </c>
      <c r="U228" t="inlineStr"/>
      <c r="V228">
        <f>IF(S228="",1,0)</f>
        <v/>
      </c>
      <c r="W228">
        <f>IF(J228="",1,0)</f>
        <v/>
      </c>
      <c r="X228">
        <f>IF(F228="",1,0)</f>
        <v/>
      </c>
      <c r="Y228">
        <f>IF(AND(AND(H228&lt;&gt;"Mass production",H228&lt;&gt;"Lost"),DATEVALUE(Q228)&lt;DATE(2026,10,20)),1,0)</f>
        <v/>
      </c>
      <c r="Z228">
        <f>IF(AND(AND(H228&lt;&gt;"Mass production",H228&lt;&gt;"Lost"),R228&gt;30),1,0)</f>
        <v/>
      </c>
      <c r="AA228">
        <f>IF(COUNTIFS($G$2:$G$247,G228,$F$2:$F$247,F228,$J$2:$J$247,J228,$K$2:$K$247,K228)&gt;1,1,0)</f>
        <v/>
      </c>
      <c r="AB228">
        <f>SUM(V228:AA228)</f>
        <v/>
      </c>
    </row>
    <row r="229">
      <c r="A229" t="inlineStr">
        <is>
          <t>OPP-26227</t>
        </is>
      </c>
      <c r="B229" t="inlineStr">
        <is>
          <t>Arcturus Metering</t>
        </is>
      </c>
      <c r="C229" t="inlineStr">
        <is>
          <t>DACH</t>
        </is>
      </c>
      <c r="D229" t="inlineStr">
        <is>
          <t>Switzerland</t>
        </is>
      </c>
      <c r="E229" t="inlineStr">
        <is>
          <t>L. Hoffmann</t>
        </is>
      </c>
      <c r="F229" t="inlineStr">
        <is>
          <t>Industrial IoT</t>
        </is>
      </c>
      <c r="G229" t="inlineStr">
        <is>
          <t>Wi-Fi / Bluetooth</t>
        </is>
      </c>
      <c r="H229" t="inlineStr">
        <is>
          <t>Design-win</t>
        </is>
      </c>
      <c r="I229" t="n">
        <v>0.7</v>
      </c>
      <c r="J229" t="n">
        <v>80000</v>
      </c>
      <c r="K229" t="n">
        <v>5.76</v>
      </c>
      <c r="L229" t="n">
        <v>3</v>
      </c>
      <c r="M229" t="n">
        <v>460800</v>
      </c>
      <c r="N229" t="n">
        <v>1382400</v>
      </c>
      <c r="O229" t="n">
        <v>967680</v>
      </c>
      <c r="P229" t="inlineStr">
        <is>
          <t>2025-05-16</t>
        </is>
      </c>
      <c r="Q229" t="inlineStr">
        <is>
          <t>2027-06-30</t>
        </is>
      </c>
      <c r="R229" t="n">
        <v>26</v>
      </c>
      <c r="S229" t="inlineStr">
        <is>
          <t>Quote revision</t>
        </is>
      </c>
      <c r="T229" t="inlineStr">
        <is>
          <t>Distributor</t>
        </is>
      </c>
      <c r="U229" t="inlineStr"/>
      <c r="V229">
        <f>IF(S229="",1,0)</f>
        <v/>
      </c>
      <c r="W229">
        <f>IF(J229="",1,0)</f>
        <v/>
      </c>
      <c r="X229">
        <f>IF(F229="",1,0)</f>
        <v/>
      </c>
      <c r="Y229">
        <f>IF(AND(AND(H229&lt;&gt;"Mass production",H229&lt;&gt;"Lost"),DATEVALUE(Q229)&lt;DATE(2026,10,20)),1,0)</f>
        <v/>
      </c>
      <c r="Z229">
        <f>IF(AND(AND(H229&lt;&gt;"Mass production",H229&lt;&gt;"Lost"),R229&gt;30),1,0)</f>
        <v/>
      </c>
      <c r="AA229">
        <f>IF(COUNTIFS($G$2:$G$247,G229,$F$2:$F$247,F229,$J$2:$J$247,J229,$K$2:$K$247,K229)&gt;1,1,0)</f>
        <v/>
      </c>
      <c r="AB229">
        <f>SUM(V229:AA229)</f>
        <v/>
      </c>
    </row>
    <row r="230">
      <c r="A230" t="inlineStr">
        <is>
          <t>OPP-26228</t>
        </is>
      </c>
      <c r="B230" t="inlineStr">
        <is>
          <t>Quorra Energy</t>
        </is>
      </c>
      <c r="C230" t="inlineStr">
        <is>
          <t>France &amp; Benelux</t>
        </is>
      </c>
      <c r="D230" t="inlineStr">
        <is>
          <t>Belgium</t>
        </is>
      </c>
      <c r="E230" t="inlineStr">
        <is>
          <t>B. de Vries</t>
        </is>
      </c>
      <c r="F230" t="inlineStr">
        <is>
          <t>Smart metering</t>
        </is>
      </c>
      <c r="G230" t="inlineStr">
        <is>
          <t>GNSS</t>
        </is>
      </c>
      <c r="H230" t="inlineStr">
        <is>
          <t>Sample / Evaluation</t>
        </is>
      </c>
      <c r="I230" t="n">
        <v>0.2</v>
      </c>
      <c r="J230" t="n">
        <v>15000</v>
      </c>
      <c r="K230" t="n">
        <v>5.72</v>
      </c>
      <c r="L230" t="n">
        <v>3</v>
      </c>
      <c r="M230" t="n">
        <v>85800</v>
      </c>
      <c r="N230" t="n">
        <v>257400</v>
      </c>
      <c r="O230" t="n">
        <v>51480</v>
      </c>
      <c r="P230" t="inlineStr">
        <is>
          <t>2026-02-24</t>
        </is>
      </c>
      <c r="Q230" t="inlineStr">
        <is>
          <t>2027-08-15</t>
        </is>
      </c>
      <c r="R230" t="n">
        <v>5</v>
      </c>
      <c r="S230" t="inlineStr">
        <is>
          <t>Technical review call</t>
        </is>
      </c>
      <c r="T230" t="inlineStr">
        <is>
          <t>Tradeshow</t>
        </is>
      </c>
      <c r="U230" t="inlineStr"/>
      <c r="V230">
        <f>IF(S230="",1,0)</f>
        <v/>
      </c>
      <c r="W230">
        <f>IF(J230="",1,0)</f>
        <v/>
      </c>
      <c r="X230">
        <f>IF(F230="",1,0)</f>
        <v/>
      </c>
      <c r="Y230">
        <f>IF(AND(AND(H230&lt;&gt;"Mass production",H230&lt;&gt;"Lost"),DATEVALUE(Q230)&lt;DATE(2026,10,20)),1,0)</f>
        <v/>
      </c>
      <c r="Z230">
        <f>IF(AND(AND(H230&lt;&gt;"Mass production",H230&lt;&gt;"Lost"),R230&gt;30),1,0)</f>
        <v/>
      </c>
      <c r="AA230">
        <f>IF(COUNTIFS($G$2:$G$247,G230,$F$2:$F$247,F230,$J$2:$J$247,J230,$K$2:$K$247,K230)&gt;1,1,0)</f>
        <v/>
      </c>
      <c r="AB230">
        <f>SUM(V230:AA230)</f>
        <v/>
      </c>
    </row>
    <row r="231">
      <c r="A231" t="inlineStr">
        <is>
          <t>OPP-26229</t>
        </is>
      </c>
      <c r="B231" t="inlineStr">
        <is>
          <t>Kestrel Telematics</t>
        </is>
      </c>
      <c r="C231" t="inlineStr">
        <is>
          <t>CEE</t>
        </is>
      </c>
      <c r="D231" t="inlineStr">
        <is>
          <t>Romania</t>
        </is>
      </c>
      <c r="E231" t="inlineStr">
        <is>
          <t>K. Nowak</t>
        </is>
      </c>
      <c r="F231" t="inlineStr">
        <is>
          <t>Healthcare</t>
        </is>
      </c>
      <c r="G231" t="inlineStr">
        <is>
          <t>GNSS</t>
        </is>
      </c>
      <c r="H231" t="inlineStr">
        <is>
          <t>Design-win</t>
        </is>
      </c>
      <c r="I231" t="n">
        <v>0.7</v>
      </c>
      <c r="J231" t="n">
        <v>2000</v>
      </c>
      <c r="K231" t="n">
        <v>4.84</v>
      </c>
      <c r="L231" t="n">
        <v>3</v>
      </c>
      <c r="M231" t="n">
        <v>9680</v>
      </c>
      <c r="N231" t="n">
        <v>29040</v>
      </c>
      <c r="O231" t="n">
        <v>20328</v>
      </c>
      <c r="P231" t="inlineStr">
        <is>
          <t>2025-09-05</t>
        </is>
      </c>
      <c r="Q231" t="inlineStr">
        <is>
          <t>2026-11-07</t>
        </is>
      </c>
      <c r="R231" t="n">
        <v>23</v>
      </c>
      <c r="S231" t="inlineStr">
        <is>
          <t>Price negotiation</t>
        </is>
      </c>
      <c r="T231" t="inlineStr">
        <is>
          <t>Distributor</t>
        </is>
      </c>
      <c r="U231" t="inlineStr"/>
      <c r="V231">
        <f>IF(S231="",1,0)</f>
        <v/>
      </c>
      <c r="W231">
        <f>IF(J231="",1,0)</f>
        <v/>
      </c>
      <c r="X231">
        <f>IF(F231="",1,0)</f>
        <v/>
      </c>
      <c r="Y231">
        <f>IF(AND(AND(H231&lt;&gt;"Mass production",H231&lt;&gt;"Lost"),DATEVALUE(Q231)&lt;DATE(2026,10,20)),1,0)</f>
        <v/>
      </c>
      <c r="Z231">
        <f>IF(AND(AND(H231&lt;&gt;"Mass production",H231&lt;&gt;"Lost"),R231&gt;30),1,0)</f>
        <v/>
      </c>
      <c r="AA231">
        <f>IF(COUNTIFS($G$2:$G$247,G231,$F$2:$F$247,F231,$J$2:$J$247,J231,$K$2:$K$247,K231)&gt;1,1,0)</f>
        <v/>
      </c>
      <c r="AB231">
        <f>SUM(V231:AA231)</f>
        <v/>
      </c>
    </row>
    <row r="232">
      <c r="A232" t="inlineStr">
        <is>
          <t>OPP-26230</t>
        </is>
      </c>
      <c r="B232" t="inlineStr">
        <is>
          <t>Lumen Connect</t>
        </is>
      </c>
      <c r="C232" t="inlineStr">
        <is>
          <t>DACH</t>
        </is>
      </c>
      <c r="D232" t="inlineStr">
        <is>
          <t>Austria</t>
        </is>
      </c>
      <c r="E232" t="inlineStr">
        <is>
          <t>J. Weber</t>
        </is>
      </c>
      <c r="F232" t="inlineStr">
        <is>
          <t>Smart home &amp; security</t>
        </is>
      </c>
      <c r="G232" t="inlineStr">
        <is>
          <t>GNSS</t>
        </is>
      </c>
      <c r="H232" t="inlineStr">
        <is>
          <t>Qualified</t>
        </is>
      </c>
      <c r="I232" t="n">
        <v>0.1</v>
      </c>
      <c r="J232" t="n">
        <v>3000</v>
      </c>
      <c r="K232" t="n">
        <v>3.95</v>
      </c>
      <c r="L232" t="n">
        <v>3</v>
      </c>
      <c r="M232" t="n">
        <v>11850</v>
      </c>
      <c r="N232" t="n">
        <v>35550</v>
      </c>
      <c r="O232" t="n">
        <v>3555</v>
      </c>
      <c r="P232" t="inlineStr">
        <is>
          <t>2025-03-29</t>
        </is>
      </c>
      <c r="Q232" t="inlineStr">
        <is>
          <t>2027-06-10</t>
        </is>
      </c>
      <c r="R232" t="n">
        <v>17</v>
      </c>
      <c r="S232" t="inlineStr">
        <is>
          <t>Technical review call</t>
        </is>
      </c>
      <c r="T232" t="inlineStr">
        <is>
          <t>Direct</t>
        </is>
      </c>
      <c r="U232" t="inlineStr"/>
      <c r="V232">
        <f>IF(S232="",1,0)</f>
        <v/>
      </c>
      <c r="W232">
        <f>IF(J232="",1,0)</f>
        <v/>
      </c>
      <c r="X232">
        <f>IF(F232="",1,0)</f>
        <v/>
      </c>
      <c r="Y232">
        <f>IF(AND(AND(H232&lt;&gt;"Mass production",H232&lt;&gt;"Lost"),DATEVALUE(Q232)&lt;DATE(2026,10,20)),1,0)</f>
        <v/>
      </c>
      <c r="Z232">
        <f>IF(AND(AND(H232&lt;&gt;"Mass production",H232&lt;&gt;"Lost"),R232&gt;30),1,0)</f>
        <v/>
      </c>
      <c r="AA232">
        <f>IF(COUNTIFS($G$2:$G$247,G232,$F$2:$F$247,F232,$J$2:$J$247,J232,$K$2:$K$247,K232)&gt;1,1,0)</f>
        <v/>
      </c>
      <c r="AB232">
        <f>SUM(V232:AA232)</f>
        <v/>
      </c>
    </row>
    <row r="233">
      <c r="A233" t="inlineStr">
        <is>
          <t>OPP-26231</t>
        </is>
      </c>
      <c r="B233" t="inlineStr">
        <is>
          <t>Ferro Systems</t>
        </is>
      </c>
      <c r="C233" t="inlineStr">
        <is>
          <t>CEE</t>
        </is>
      </c>
      <c r="D233" t="inlineStr">
        <is>
          <t>Poland</t>
        </is>
      </c>
      <c r="E233" t="inlineStr">
        <is>
          <t>K. Nowak</t>
        </is>
      </c>
      <c r="F233" t="inlineStr">
        <is>
          <t>POS &amp; payments</t>
        </is>
      </c>
      <c r="G233" t="inlineStr">
        <is>
          <t>Smart module</t>
        </is>
      </c>
      <c r="H233" t="inlineStr">
        <is>
          <t>Mass production</t>
        </is>
      </c>
      <c r="I233" t="n">
        <v>1</v>
      </c>
      <c r="J233" t="n">
        <v>3000</v>
      </c>
      <c r="K233" t="n">
        <v>85.84</v>
      </c>
      <c r="L233" t="n">
        <v>3</v>
      </c>
      <c r="M233" t="n">
        <v>257520</v>
      </c>
      <c r="N233" t="n">
        <v>772560</v>
      </c>
      <c r="O233" t="n">
        <v>772560</v>
      </c>
      <c r="P233" t="inlineStr">
        <is>
          <t>2026-09-06</t>
        </is>
      </c>
      <c r="Q233" t="inlineStr">
        <is>
          <t>2026-09-27</t>
        </is>
      </c>
      <c r="R233" t="n">
        <v>5</v>
      </c>
      <c r="S233" t="inlineStr">
        <is>
          <t>Technical review call</t>
        </is>
      </c>
      <c r="T233" t="inlineStr">
        <is>
          <t>Distributor</t>
        </is>
      </c>
      <c r="U233" t="inlineStr"/>
      <c r="V233">
        <f>IF(S233="",1,0)</f>
        <v/>
      </c>
      <c r="W233">
        <f>IF(J233="",1,0)</f>
        <v/>
      </c>
      <c r="X233">
        <f>IF(F233="",1,0)</f>
        <v/>
      </c>
      <c r="Y233">
        <f>IF(AND(AND(H233&lt;&gt;"Mass production",H233&lt;&gt;"Lost"),DATEVALUE(Q233)&lt;DATE(2026,10,20)),1,0)</f>
        <v/>
      </c>
      <c r="Z233">
        <f>IF(AND(AND(H233&lt;&gt;"Mass production",H233&lt;&gt;"Lost"),R233&gt;30),1,0)</f>
        <v/>
      </c>
      <c r="AA233">
        <f>IF(COUNTIFS($G$2:$G$247,G233,$F$2:$F$247,F233,$J$2:$J$247,J233,$K$2:$K$247,K233)&gt;1,1,0)</f>
        <v/>
      </c>
      <c r="AB233">
        <f>SUM(V233:AA233)</f>
        <v/>
      </c>
    </row>
    <row r="234">
      <c r="A234" t="inlineStr">
        <is>
          <t>OPP-26232</t>
        </is>
      </c>
      <c r="B234" t="inlineStr">
        <is>
          <t>Rhenus Tracking</t>
        </is>
      </c>
      <c r="C234" t="inlineStr">
        <is>
          <t>UK &amp; Ireland</t>
        </is>
      </c>
      <c r="D234" t="inlineStr">
        <is>
          <t>Ireland</t>
        </is>
      </c>
      <c r="E234" t="inlineStr">
        <is>
          <t>S. Clarke</t>
        </is>
      </c>
      <c r="F234" t="inlineStr">
        <is>
          <t>Smart metering</t>
        </is>
      </c>
      <c r="G234" t="inlineStr">
        <is>
          <t>LTE-M / NB-IoT</t>
        </is>
      </c>
      <c r="H234" t="inlineStr">
        <is>
          <t>Sample / Evaluation</t>
        </is>
      </c>
      <c r="I234" t="n">
        <v>0.2</v>
      </c>
      <c r="J234" t="n">
        <v>20000</v>
      </c>
      <c r="K234" t="n">
        <v>7.39</v>
      </c>
      <c r="L234" t="n">
        <v>3</v>
      </c>
      <c r="M234" t="n">
        <v>147800</v>
      </c>
      <c r="N234" t="n">
        <v>443400</v>
      </c>
      <c r="O234" t="n">
        <v>88680</v>
      </c>
      <c r="P234" t="inlineStr">
        <is>
          <t>2026-09-13</t>
        </is>
      </c>
      <c r="Q234" t="inlineStr">
        <is>
          <t>2027-03-28</t>
        </is>
      </c>
      <c r="R234" t="n">
        <v>10</v>
      </c>
      <c r="S234" t="inlineStr">
        <is>
          <t>Technical review call</t>
        </is>
      </c>
      <c r="T234" t="inlineStr">
        <is>
          <t>Distributor</t>
        </is>
      </c>
      <c r="U234" t="inlineStr"/>
      <c r="V234">
        <f>IF(S234="",1,0)</f>
        <v/>
      </c>
      <c r="W234">
        <f>IF(J234="",1,0)</f>
        <v/>
      </c>
      <c r="X234">
        <f>IF(F234="",1,0)</f>
        <v/>
      </c>
      <c r="Y234">
        <f>IF(AND(AND(H234&lt;&gt;"Mass production",H234&lt;&gt;"Lost"),DATEVALUE(Q234)&lt;DATE(2026,10,20)),1,0)</f>
        <v/>
      </c>
      <c r="Z234">
        <f>IF(AND(AND(H234&lt;&gt;"Mass production",H234&lt;&gt;"Lost"),R234&gt;30),1,0)</f>
        <v/>
      </c>
      <c r="AA234">
        <f>IF(COUNTIFS($G$2:$G$247,G234,$F$2:$F$247,F234,$J$2:$J$247,J234,$K$2:$K$247,K234)&gt;1,1,0)</f>
        <v/>
      </c>
      <c r="AB234">
        <f>SUM(V234:AA234)</f>
        <v/>
      </c>
    </row>
    <row r="235">
      <c r="A235" t="inlineStr">
        <is>
          <t>OPP-26233</t>
        </is>
      </c>
      <c r="B235" t="inlineStr">
        <is>
          <t>Quorra Health</t>
        </is>
      </c>
      <c r="C235" t="inlineStr">
        <is>
          <t>Southern Europe</t>
        </is>
      </c>
      <c r="D235" t="inlineStr">
        <is>
          <t>Italy</t>
        </is>
      </c>
      <c r="E235" t="inlineStr">
        <is>
          <t>M. Rossi</t>
        </is>
      </c>
      <c r="F235" t="inlineStr">
        <is>
          <t>Asset tracking</t>
        </is>
      </c>
      <c r="G235" t="inlineStr">
        <is>
          <t>LTE Cat 1 bis</t>
        </is>
      </c>
      <c r="H235" t="inlineStr">
        <is>
          <t>Mass production</t>
        </is>
      </c>
      <c r="I235" t="n">
        <v>1</v>
      </c>
      <c r="J235" t="n">
        <v>10000</v>
      </c>
      <c r="K235" t="n">
        <v>9.619999999999999</v>
      </c>
      <c r="L235" t="n">
        <v>4</v>
      </c>
      <c r="M235" t="n">
        <v>96200</v>
      </c>
      <c r="N235" t="n">
        <v>384800</v>
      </c>
      <c r="O235" t="n">
        <v>384800</v>
      </c>
      <c r="P235" t="inlineStr">
        <is>
          <t>2025-09-05</t>
        </is>
      </c>
      <c r="Q235" t="inlineStr">
        <is>
          <t>2026-07-24</t>
        </is>
      </c>
      <c r="R235" t="n">
        <v>10</v>
      </c>
      <c r="S235" t="inlineStr">
        <is>
          <t>Design review</t>
        </is>
      </c>
      <c r="T235" t="inlineStr">
        <is>
          <t>Website</t>
        </is>
      </c>
      <c r="U235" t="inlineStr"/>
      <c r="V235">
        <f>IF(S235="",1,0)</f>
        <v/>
      </c>
      <c r="W235">
        <f>IF(J235="",1,0)</f>
        <v/>
      </c>
      <c r="X235">
        <f>IF(F235="",1,0)</f>
        <v/>
      </c>
      <c r="Y235">
        <f>IF(AND(AND(H235&lt;&gt;"Mass production",H235&lt;&gt;"Lost"),DATEVALUE(Q235)&lt;DATE(2026,10,20)),1,0)</f>
        <v/>
      </c>
      <c r="Z235">
        <f>IF(AND(AND(H235&lt;&gt;"Mass production",H235&lt;&gt;"Lost"),R235&gt;30),1,0)</f>
        <v/>
      </c>
      <c r="AA235">
        <f>IF(COUNTIFS($G$2:$G$247,G235,$F$2:$F$247,F235,$J$2:$J$247,J235,$K$2:$K$247,K235)&gt;1,1,0)</f>
        <v/>
      </c>
      <c r="AB235">
        <f>SUM(V235:AA235)</f>
        <v/>
      </c>
    </row>
    <row r="236">
      <c r="A236" t="inlineStr">
        <is>
          <t>OPP-26234</t>
        </is>
      </c>
      <c r="B236" t="inlineStr">
        <is>
          <t>Quorra Health</t>
        </is>
      </c>
      <c r="C236" t="inlineStr">
        <is>
          <t>Southern Europe</t>
        </is>
      </c>
      <c r="D236" t="inlineStr">
        <is>
          <t>Italy</t>
        </is>
      </c>
      <c r="E236" t="inlineStr">
        <is>
          <t>A. Garcia</t>
        </is>
      </c>
      <c r="F236" t="inlineStr">
        <is>
          <t>Automotive &amp; C-V2X</t>
        </is>
      </c>
      <c r="G236" t="inlineStr">
        <is>
          <t>5G eMBB</t>
        </is>
      </c>
      <c r="H236" t="inlineStr">
        <is>
          <t>Lost</t>
        </is>
      </c>
      <c r="I236" t="n">
        <v>0</v>
      </c>
      <c r="J236" t="n">
        <v>15000</v>
      </c>
      <c r="K236" t="n">
        <v>101.39</v>
      </c>
      <c r="L236" t="n">
        <v>2</v>
      </c>
      <c r="M236" t="n">
        <v>1520850</v>
      </c>
      <c r="N236" t="n">
        <v>3041700</v>
      </c>
      <c r="O236" t="n">
        <v>0</v>
      </c>
      <c r="P236" t="inlineStr">
        <is>
          <t>2025-03-13</t>
        </is>
      </c>
      <c r="Q236" t="inlineStr">
        <is>
          <t>2026-04-21</t>
        </is>
      </c>
      <c r="R236" t="n">
        <v>1</v>
      </c>
      <c r="S236" t="inlineStr">
        <is>
          <t>Pilot build follow-up</t>
        </is>
      </c>
      <c r="T236" t="inlineStr">
        <is>
          <t>Direct</t>
        </is>
      </c>
      <c r="U236" t="inlineStr">
        <is>
          <t>Project cancelled</t>
        </is>
      </c>
      <c r="V236">
        <f>IF(S236="",1,0)</f>
        <v/>
      </c>
      <c r="W236">
        <f>IF(J236="",1,0)</f>
        <v/>
      </c>
      <c r="X236">
        <f>IF(F236="",1,0)</f>
        <v/>
      </c>
      <c r="Y236">
        <f>IF(AND(AND(H236&lt;&gt;"Mass production",H236&lt;&gt;"Lost"),DATEVALUE(Q236)&lt;DATE(2026,10,20)),1,0)</f>
        <v/>
      </c>
      <c r="Z236">
        <f>IF(AND(AND(H236&lt;&gt;"Mass production",H236&lt;&gt;"Lost"),R236&gt;30),1,0)</f>
        <v/>
      </c>
      <c r="AA236">
        <f>IF(COUNTIFS($G$2:$G$247,G236,$F$2:$F$247,F236,$J$2:$J$247,J236,$K$2:$K$247,K236)&gt;1,1,0)</f>
        <v/>
      </c>
      <c r="AB236">
        <f>SUM(V236:AA236)</f>
        <v/>
      </c>
    </row>
    <row r="237">
      <c r="A237" t="inlineStr">
        <is>
          <t>OPP-26235</t>
        </is>
      </c>
      <c r="B237" t="inlineStr">
        <is>
          <t>Kestrel Telematics</t>
        </is>
      </c>
      <c r="C237" t="inlineStr">
        <is>
          <t>CEE</t>
        </is>
      </c>
      <c r="D237" t="inlineStr">
        <is>
          <t>Romania</t>
        </is>
      </c>
      <c r="E237" t="inlineStr">
        <is>
          <t>K. Nowak</t>
        </is>
      </c>
      <c r="F237" t="inlineStr">
        <is>
          <t>POS &amp; payments</t>
        </is>
      </c>
      <c r="G237" t="inlineStr">
        <is>
          <t>5G eMBB</t>
        </is>
      </c>
      <c r="H237" t="inlineStr">
        <is>
          <t>Mass production</t>
        </is>
      </c>
      <c r="I237" t="n">
        <v>1</v>
      </c>
      <c r="J237" t="n">
        <v>8000</v>
      </c>
      <c r="K237" t="n">
        <v>93.84999999999999</v>
      </c>
      <c r="L237" t="n">
        <v>5</v>
      </c>
      <c r="M237" t="n">
        <v>750800</v>
      </c>
      <c r="N237" t="n">
        <v>3754000</v>
      </c>
      <c r="O237" t="n">
        <v>3754000</v>
      </c>
      <c r="P237" t="inlineStr">
        <is>
          <t>2026-01-15</t>
        </is>
      </c>
      <c r="Q237" t="inlineStr">
        <is>
          <t>2026-08-22</t>
        </is>
      </c>
      <c r="R237" t="n">
        <v>2</v>
      </c>
      <c r="S237" t="inlineStr">
        <is>
          <t>Technical review call</t>
        </is>
      </c>
      <c r="T237" t="inlineStr">
        <is>
          <t>Direct</t>
        </is>
      </c>
      <c r="U237" t="inlineStr"/>
      <c r="V237">
        <f>IF(S237="",1,0)</f>
        <v/>
      </c>
      <c r="W237">
        <f>IF(J237="",1,0)</f>
        <v/>
      </c>
      <c r="X237">
        <f>IF(F237="",1,0)</f>
        <v/>
      </c>
      <c r="Y237">
        <f>IF(AND(AND(H237&lt;&gt;"Mass production",H237&lt;&gt;"Lost"),DATEVALUE(Q237)&lt;DATE(2026,10,20)),1,0)</f>
        <v/>
      </c>
      <c r="Z237">
        <f>IF(AND(AND(H237&lt;&gt;"Mass production",H237&lt;&gt;"Lost"),R237&gt;30),1,0)</f>
        <v/>
      </c>
      <c r="AA237">
        <f>IF(COUNTIFS($G$2:$G$247,G237,$F$2:$F$247,F237,$J$2:$J$247,J237,$K$2:$K$247,K237)&gt;1,1,0)</f>
        <v/>
      </c>
      <c r="AB237">
        <f>SUM(V237:AA237)</f>
        <v/>
      </c>
    </row>
    <row r="238">
      <c r="A238" t="inlineStr">
        <is>
          <t>OPP-26236</t>
        </is>
      </c>
      <c r="B238" t="inlineStr">
        <is>
          <t>Vector Devices</t>
        </is>
      </c>
      <c r="C238" t="inlineStr">
        <is>
          <t>UK &amp; Ireland</t>
        </is>
      </c>
      <c r="D238" t="inlineStr">
        <is>
          <t>United Kingdom</t>
        </is>
      </c>
      <c r="E238" t="inlineStr">
        <is>
          <t>R. Patel</t>
        </is>
      </c>
      <c r="F238" t="inlineStr">
        <is>
          <t>POS &amp; payments</t>
        </is>
      </c>
      <c r="G238" t="inlineStr">
        <is>
          <t>LTE Cat 1 bis</t>
        </is>
      </c>
      <c r="H238" t="inlineStr">
        <is>
          <t>Design-in</t>
        </is>
      </c>
      <c r="I238" t="n">
        <v>0.4</v>
      </c>
      <c r="J238" t="n">
        <v>8000</v>
      </c>
      <c r="K238" t="n">
        <v>8.75</v>
      </c>
      <c r="L238" t="n">
        <v>2</v>
      </c>
      <c r="M238" t="n">
        <v>70000</v>
      </c>
      <c r="N238" t="n">
        <v>140000</v>
      </c>
      <c r="O238" t="n">
        <v>56000</v>
      </c>
      <c r="P238" t="inlineStr">
        <is>
          <t>2025-12-13</t>
        </is>
      </c>
      <c r="Q238" t="inlineStr">
        <is>
          <t>2027-07-24</t>
        </is>
      </c>
      <c r="R238" t="n">
        <v>1</v>
      </c>
      <c r="S238" t="inlineStr">
        <is>
          <t>Quote revision</t>
        </is>
      </c>
      <c r="T238" t="inlineStr">
        <is>
          <t>Distributor</t>
        </is>
      </c>
      <c r="U238" t="inlineStr"/>
      <c r="V238">
        <f>IF(S238="",1,0)</f>
        <v/>
      </c>
      <c r="W238">
        <f>IF(J238="",1,0)</f>
        <v/>
      </c>
      <c r="X238">
        <f>IF(F238="",1,0)</f>
        <v/>
      </c>
      <c r="Y238">
        <f>IF(AND(AND(H238&lt;&gt;"Mass production",H238&lt;&gt;"Lost"),DATEVALUE(Q238)&lt;DATE(2026,10,20)),1,0)</f>
        <v/>
      </c>
      <c r="Z238">
        <f>IF(AND(AND(H238&lt;&gt;"Mass production",H238&lt;&gt;"Lost"),R238&gt;30),1,0)</f>
        <v/>
      </c>
      <c r="AA238">
        <f>IF(COUNTIFS($G$2:$G$247,G238,$F$2:$F$247,F238,$J$2:$J$247,J238,$K$2:$K$247,K238)&gt;1,1,0)</f>
        <v/>
      </c>
      <c r="AB238">
        <f>SUM(V238:AA238)</f>
        <v/>
      </c>
    </row>
    <row r="239">
      <c r="A239" t="inlineStr">
        <is>
          <t>OPP-26237</t>
        </is>
      </c>
      <c r="B239" t="inlineStr">
        <is>
          <t>Meridian Electronics</t>
        </is>
      </c>
      <c r="C239" t="inlineStr">
        <is>
          <t>CEE</t>
        </is>
      </c>
      <c r="D239" t="inlineStr">
        <is>
          <t>Serbia</t>
        </is>
      </c>
      <c r="E239" t="inlineStr">
        <is>
          <t>D. Jovanovic</t>
        </is>
      </c>
      <c r="F239" t="inlineStr">
        <is>
          <t>Telematics</t>
        </is>
      </c>
      <c r="G239" t="inlineStr">
        <is>
          <t>5G eMBB</t>
        </is>
      </c>
      <c r="H239" t="inlineStr">
        <is>
          <t>Lost</t>
        </is>
      </c>
      <c r="I239" t="n">
        <v>0</v>
      </c>
      <c r="J239" t="n">
        <v>8000</v>
      </c>
      <c r="K239" t="n">
        <v>85.27</v>
      </c>
      <c r="L239" t="n">
        <v>3</v>
      </c>
      <c r="M239" t="n">
        <v>682160</v>
      </c>
      <c r="N239" t="n">
        <v>2046480</v>
      </c>
      <c r="O239" t="n">
        <v>0</v>
      </c>
      <c r="P239" t="inlineStr">
        <is>
          <t>2025-07-11</t>
        </is>
      </c>
      <c r="Q239" t="inlineStr">
        <is>
          <t>2026-03-29</t>
        </is>
      </c>
      <c r="R239" t="n">
        <v>19</v>
      </c>
      <c r="S239" t="inlineStr">
        <is>
          <t>Price negotiation</t>
        </is>
      </c>
      <c r="T239" t="inlineStr">
        <is>
          <t>Distributor</t>
        </is>
      </c>
      <c r="U239" t="inlineStr">
        <is>
          <t>Project cancelled</t>
        </is>
      </c>
      <c r="V239">
        <f>IF(S239="",1,0)</f>
        <v/>
      </c>
      <c r="W239">
        <f>IF(J239="",1,0)</f>
        <v/>
      </c>
      <c r="X239">
        <f>IF(F239="",1,0)</f>
        <v/>
      </c>
      <c r="Y239">
        <f>IF(AND(AND(H239&lt;&gt;"Mass production",H239&lt;&gt;"Lost"),DATEVALUE(Q239)&lt;DATE(2026,10,20)),1,0)</f>
        <v/>
      </c>
      <c r="Z239">
        <f>IF(AND(AND(H239&lt;&gt;"Mass production",H239&lt;&gt;"Lost"),R239&gt;30),1,0)</f>
        <v/>
      </c>
      <c r="AA239">
        <f>IF(COUNTIFS($G$2:$G$247,G239,$F$2:$F$247,F239,$J$2:$J$247,J239,$K$2:$K$247,K239)&gt;1,1,0)</f>
        <v/>
      </c>
      <c r="AB239">
        <f>SUM(V239:AA239)</f>
        <v/>
      </c>
    </row>
    <row r="240">
      <c r="A240" t="inlineStr">
        <is>
          <t>OPP-26238</t>
        </is>
      </c>
      <c r="B240" t="inlineStr">
        <is>
          <t>Baltix Devices</t>
        </is>
      </c>
      <c r="C240" t="inlineStr">
        <is>
          <t>Nordics</t>
        </is>
      </c>
      <c r="D240" t="inlineStr">
        <is>
          <t>Sweden</t>
        </is>
      </c>
      <c r="E240" t="inlineStr">
        <is>
          <t>E. Lindqvist</t>
        </is>
      </c>
      <c r="F240" t="inlineStr">
        <is>
          <t>Smart home &amp; security</t>
        </is>
      </c>
      <c r="G240" t="inlineStr">
        <is>
          <t>GNSS</t>
        </is>
      </c>
      <c r="H240" t="inlineStr">
        <is>
          <t>Qualified</t>
        </is>
      </c>
      <c r="I240" t="n">
        <v>0.1</v>
      </c>
      <c r="J240" t="n">
        <v>10000</v>
      </c>
      <c r="K240" t="n">
        <v>3.95</v>
      </c>
      <c r="L240" t="n">
        <v>3</v>
      </c>
      <c r="M240" t="n">
        <v>39500</v>
      </c>
      <c r="N240" t="n">
        <v>118500</v>
      </c>
      <c r="O240" t="n">
        <v>11850</v>
      </c>
      <c r="P240" t="inlineStr">
        <is>
          <t>2025-03-28</t>
        </is>
      </c>
      <c r="Q240" t="inlineStr">
        <is>
          <t>2026-12-19</t>
        </is>
      </c>
      <c r="R240" t="n">
        <v>40</v>
      </c>
      <c r="S240" t="inlineStr">
        <is>
          <t>Certification plan</t>
        </is>
      </c>
      <c r="T240" t="inlineStr">
        <is>
          <t>FAE referral</t>
        </is>
      </c>
      <c r="U240" t="inlineStr"/>
      <c r="V240">
        <f>IF(S240="",1,0)</f>
        <v/>
      </c>
      <c r="W240">
        <f>IF(J240="",1,0)</f>
        <v/>
      </c>
      <c r="X240">
        <f>IF(F240="",1,0)</f>
        <v/>
      </c>
      <c r="Y240">
        <f>IF(AND(AND(H240&lt;&gt;"Mass production",H240&lt;&gt;"Lost"),DATEVALUE(Q240)&lt;DATE(2026,10,20)),1,0)</f>
        <v/>
      </c>
      <c r="Z240">
        <f>IF(AND(AND(H240&lt;&gt;"Mass production",H240&lt;&gt;"Lost"),R240&gt;30),1,0)</f>
        <v/>
      </c>
      <c r="AA240">
        <f>IF(COUNTIFS($G$2:$G$247,G240,$F$2:$F$247,F240,$J$2:$J$247,J240,$K$2:$K$247,K240)&gt;1,1,0)</f>
        <v/>
      </c>
      <c r="AB240">
        <f>SUM(V240:AA240)</f>
        <v/>
      </c>
    </row>
    <row r="241">
      <c r="A241" t="inlineStr">
        <is>
          <t>OPP-26239</t>
        </is>
      </c>
      <c r="B241" t="inlineStr">
        <is>
          <t>Ferro Telematics</t>
        </is>
      </c>
      <c r="C241" t="inlineStr">
        <is>
          <t>Southern Europe</t>
        </is>
      </c>
      <c r="D241" t="inlineStr">
        <is>
          <t>Portugal</t>
        </is>
      </c>
      <c r="E241" t="inlineStr">
        <is>
          <t>M. Rossi</t>
        </is>
      </c>
      <c r="F241" t="inlineStr">
        <is>
          <t>Smart home &amp; security</t>
        </is>
      </c>
      <c r="G241" t="inlineStr">
        <is>
          <t>GNSS</t>
        </is>
      </c>
      <c r="H241" t="inlineStr">
        <is>
          <t>Lost</t>
        </is>
      </c>
      <c r="I241" t="n">
        <v>0</v>
      </c>
      <c r="J241" t="n">
        <v>5000</v>
      </c>
      <c r="K241" t="n">
        <v>6.1</v>
      </c>
      <c r="L241" t="n">
        <v>3</v>
      </c>
      <c r="M241" t="n">
        <v>30500</v>
      </c>
      <c r="N241" t="n">
        <v>91500</v>
      </c>
      <c r="O241" t="n">
        <v>0</v>
      </c>
      <c r="P241" t="inlineStr">
        <is>
          <t>2025-08-25</t>
        </is>
      </c>
      <c r="Q241" t="inlineStr">
        <is>
          <t>2026-04-16</t>
        </is>
      </c>
      <c r="R241" t="n">
        <v>12</v>
      </c>
      <c r="S241" t="inlineStr">
        <is>
          <t>Forecast confirmation</t>
        </is>
      </c>
      <c r="T241" t="inlineStr">
        <is>
          <t>Distributor</t>
        </is>
      </c>
      <c r="U241" t="inlineStr">
        <is>
          <t>Competitor module</t>
        </is>
      </c>
      <c r="V241">
        <f>IF(S241="",1,0)</f>
        <v/>
      </c>
      <c r="W241">
        <f>IF(J241="",1,0)</f>
        <v/>
      </c>
      <c r="X241">
        <f>IF(F241="",1,0)</f>
        <v/>
      </c>
      <c r="Y241">
        <f>IF(AND(AND(H241&lt;&gt;"Mass production",H241&lt;&gt;"Lost"),DATEVALUE(Q241)&lt;DATE(2026,10,20)),1,0)</f>
        <v/>
      </c>
      <c r="Z241">
        <f>IF(AND(AND(H241&lt;&gt;"Mass production",H241&lt;&gt;"Lost"),R241&gt;30),1,0)</f>
        <v/>
      </c>
      <c r="AA241">
        <f>IF(COUNTIFS($G$2:$G$247,G241,$F$2:$F$247,F241,$J$2:$J$247,J241,$K$2:$K$247,K241)&gt;1,1,0)</f>
        <v/>
      </c>
      <c r="AB241">
        <f>SUM(V241:AA241)</f>
        <v/>
      </c>
    </row>
    <row r="242">
      <c r="A242" t="inlineStr">
        <is>
          <t>OPP-26240</t>
        </is>
      </c>
      <c r="B242" t="inlineStr">
        <is>
          <t>QUORRA ELECTRONICS</t>
        </is>
      </c>
      <c r="C242" t="inlineStr">
        <is>
          <t>DACH</t>
        </is>
      </c>
      <c r="D242" t="inlineStr">
        <is>
          <t>Austria</t>
        </is>
      </c>
      <c r="E242" t="inlineStr">
        <is>
          <t>L. Hoffmann</t>
        </is>
      </c>
      <c r="F242" t="inlineStr">
        <is>
          <t>Smart metering</t>
        </is>
      </c>
      <c r="G242" t="inlineStr">
        <is>
          <t>5G RedCap</t>
        </is>
      </c>
      <c r="H242" t="inlineStr">
        <is>
          <t>Qualified</t>
        </is>
      </c>
      <c r="I242" t="n">
        <v>0.1</v>
      </c>
      <c r="J242" t="n">
        <v>5000</v>
      </c>
      <c r="K242" t="n">
        <v>52.15</v>
      </c>
      <c r="L242" t="n">
        <v>2</v>
      </c>
      <c r="M242" t="n">
        <v>260750</v>
      </c>
      <c r="N242" t="n">
        <v>521500</v>
      </c>
      <c r="O242" t="n">
        <v>52150</v>
      </c>
      <c r="P242" t="inlineStr">
        <is>
          <t>2025-09-20</t>
        </is>
      </c>
      <c r="Q242" t="inlineStr">
        <is>
          <t>2027-09-09</t>
        </is>
      </c>
      <c r="R242" t="n">
        <v>60</v>
      </c>
      <c r="S242" t="inlineStr">
        <is>
          <t>Send samples</t>
        </is>
      </c>
      <c r="T242" t="inlineStr">
        <is>
          <t>Tradeshow</t>
        </is>
      </c>
      <c r="U242" t="inlineStr"/>
      <c r="V242">
        <f>IF(S242="",1,0)</f>
        <v/>
      </c>
      <c r="W242">
        <f>IF(J242="",1,0)</f>
        <v/>
      </c>
      <c r="X242">
        <f>IF(F242="",1,0)</f>
        <v/>
      </c>
      <c r="Y242">
        <f>IF(AND(AND(H242&lt;&gt;"Mass production",H242&lt;&gt;"Lost"),DATEVALUE(Q242)&lt;DATE(2026,10,20)),1,0)</f>
        <v/>
      </c>
      <c r="Z242">
        <f>IF(AND(AND(H242&lt;&gt;"Mass production",H242&lt;&gt;"Lost"),R242&gt;30),1,0)</f>
        <v/>
      </c>
      <c r="AA242">
        <f>IF(COUNTIFS($G$2:$G$247,G242,$F$2:$F$247,F242,$J$2:$J$247,J242,$K$2:$K$247,K242)&gt;1,1,0)</f>
        <v/>
      </c>
      <c r="AB242">
        <f>SUM(V242:AA242)</f>
        <v/>
      </c>
    </row>
    <row r="243">
      <c r="A243" t="inlineStr">
        <is>
          <t>OPP-26241</t>
        </is>
      </c>
      <c r="B243" t="inlineStr">
        <is>
          <t>BLUECELL LABS</t>
        </is>
      </c>
      <c r="C243" t="inlineStr">
        <is>
          <t>Southern Europe</t>
        </is>
      </c>
      <c r="D243" t="inlineStr">
        <is>
          <t>Portugal</t>
        </is>
      </c>
      <c r="E243" t="inlineStr">
        <is>
          <t>M. Rossi</t>
        </is>
      </c>
      <c r="F243" t="inlineStr">
        <is>
          <t>Smart home &amp; security</t>
        </is>
      </c>
      <c r="G243" t="inlineStr">
        <is>
          <t>GNSS</t>
        </is>
      </c>
      <c r="H243" t="inlineStr">
        <is>
          <t>Design-in</t>
        </is>
      </c>
      <c r="I243" t="n">
        <v>0.4</v>
      </c>
      <c r="J243" t="n">
        <v>30000</v>
      </c>
      <c r="K243" t="n">
        <v>7.26</v>
      </c>
      <c r="L243" t="n">
        <v>2</v>
      </c>
      <c r="M243" t="n">
        <v>217800</v>
      </c>
      <c r="N243" t="n">
        <v>435600</v>
      </c>
      <c r="O243" t="n">
        <v>174240</v>
      </c>
      <c r="P243" t="inlineStr">
        <is>
          <t>2026-09-13</t>
        </is>
      </c>
      <c r="Q243" t="inlineStr">
        <is>
          <t>2027-07-07</t>
        </is>
      </c>
      <c r="R243" t="n">
        <v>112</v>
      </c>
      <c r="S243" t="inlineStr">
        <is>
          <t>Pilot build follow-up</t>
        </is>
      </c>
      <c r="T243" t="inlineStr">
        <is>
          <t>Tradeshow</t>
        </is>
      </c>
      <c r="U243" t="inlineStr"/>
      <c r="V243">
        <f>IF(S243="",1,0)</f>
        <v/>
      </c>
      <c r="W243">
        <f>IF(J243="",1,0)</f>
        <v/>
      </c>
      <c r="X243">
        <f>IF(F243="",1,0)</f>
        <v/>
      </c>
      <c r="Y243">
        <f>IF(AND(AND(H243&lt;&gt;"Mass production",H243&lt;&gt;"Lost"),DATEVALUE(Q243)&lt;DATE(2026,10,20)),1,0)</f>
        <v/>
      </c>
      <c r="Z243">
        <f>IF(AND(AND(H243&lt;&gt;"Mass production",H243&lt;&gt;"Lost"),R243&gt;30),1,0)</f>
        <v/>
      </c>
      <c r="AA243">
        <f>IF(COUNTIFS($G$2:$G$247,G243,$F$2:$F$247,F243,$J$2:$J$247,J243,$K$2:$K$247,K243)&gt;1,1,0)</f>
        <v/>
      </c>
      <c r="AB243">
        <f>SUM(V243:AA243)</f>
        <v/>
      </c>
    </row>
    <row r="244">
      <c r="A244" t="inlineStr">
        <is>
          <t>OPP-26242</t>
        </is>
      </c>
      <c r="B244" t="inlineStr">
        <is>
          <t>Iberix Electronics GmbH</t>
        </is>
      </c>
      <c r="C244" t="inlineStr">
        <is>
          <t>Middle East &amp; Africa</t>
        </is>
      </c>
      <c r="D244" t="inlineStr">
        <is>
          <t>UAE</t>
        </is>
      </c>
      <c r="E244" t="inlineStr">
        <is>
          <t>O. Demir</t>
        </is>
      </c>
      <c r="F244" t="inlineStr">
        <is>
          <t>Asset tracking</t>
        </is>
      </c>
      <c r="G244" t="inlineStr">
        <is>
          <t>Wi-Fi / Bluetooth</t>
        </is>
      </c>
      <c r="H244" t="inlineStr">
        <is>
          <t>Mass production</t>
        </is>
      </c>
      <c r="I244" t="n">
        <v>1</v>
      </c>
      <c r="J244" t="n">
        <v>5000</v>
      </c>
      <c r="K244" t="n">
        <v>3.86</v>
      </c>
      <c r="L244" t="n">
        <v>3</v>
      </c>
      <c r="M244" t="n">
        <v>19300</v>
      </c>
      <c r="N244" t="n">
        <v>57900</v>
      </c>
      <c r="O244" t="n">
        <v>57900</v>
      </c>
      <c r="P244" t="inlineStr">
        <is>
          <t>2026-01-31</t>
        </is>
      </c>
      <c r="Q244" t="inlineStr">
        <is>
          <t>2026-09-24</t>
        </is>
      </c>
      <c r="R244" t="n">
        <v>58</v>
      </c>
      <c r="S244" t="inlineStr">
        <is>
          <t>Certification plan</t>
        </is>
      </c>
      <c r="T244" t="inlineStr">
        <is>
          <t>Website</t>
        </is>
      </c>
      <c r="U244" t="inlineStr"/>
      <c r="V244">
        <f>IF(S244="",1,0)</f>
        <v/>
      </c>
      <c r="W244">
        <f>IF(J244="",1,0)</f>
        <v/>
      </c>
      <c r="X244">
        <f>IF(F244="",1,0)</f>
        <v/>
      </c>
      <c r="Y244">
        <f>IF(AND(AND(H244&lt;&gt;"Mass production",H244&lt;&gt;"Lost"),DATEVALUE(Q244)&lt;DATE(2026,10,20)),1,0)</f>
        <v/>
      </c>
      <c r="Z244">
        <f>IF(AND(AND(H244&lt;&gt;"Mass production",H244&lt;&gt;"Lost"),R244&gt;30),1,0)</f>
        <v/>
      </c>
      <c r="AA244">
        <f>IF(COUNTIFS($G$2:$G$247,G244,$F$2:$F$247,F244,$J$2:$J$247,J244,$K$2:$K$247,K244)&gt;1,1,0)</f>
        <v/>
      </c>
      <c r="AB244">
        <f>SUM(V244:AA244)</f>
        <v/>
      </c>
    </row>
    <row r="245">
      <c r="A245" t="inlineStr">
        <is>
          <t>OPP-26243</t>
        </is>
      </c>
      <c r="B245" t="inlineStr">
        <is>
          <t>Stellar Mobility GmbH</t>
        </is>
      </c>
      <c r="C245" t="inlineStr">
        <is>
          <t>DACH</t>
        </is>
      </c>
      <c r="D245" t="inlineStr">
        <is>
          <t>Switzerland</t>
        </is>
      </c>
      <c r="E245" t="inlineStr">
        <is>
          <t>L. Hoffmann</t>
        </is>
      </c>
      <c r="F245" t="inlineStr">
        <is>
          <t>POS &amp; payments</t>
        </is>
      </c>
      <c r="G245" t="inlineStr">
        <is>
          <t>GNSS</t>
        </is>
      </c>
      <c r="H245" t="inlineStr">
        <is>
          <t>Qualified</t>
        </is>
      </c>
      <c r="I245" t="n">
        <v>0.1</v>
      </c>
      <c r="J245" t="n">
        <v>15000</v>
      </c>
      <c r="K245" t="n">
        <v>8.32</v>
      </c>
      <c r="L245" t="n">
        <v>5</v>
      </c>
      <c r="M245" t="n">
        <v>124800</v>
      </c>
      <c r="N245" t="n">
        <v>624000</v>
      </c>
      <c r="O245" t="n">
        <v>62400</v>
      </c>
      <c r="P245" t="inlineStr">
        <is>
          <t>2025-05-05</t>
        </is>
      </c>
      <c r="Q245" t="inlineStr">
        <is>
          <t>2027-01-27</t>
        </is>
      </c>
      <c r="R245" t="n">
        <v>101</v>
      </c>
      <c r="S245" t="inlineStr">
        <is>
          <t>Forecast confirmation</t>
        </is>
      </c>
      <c r="T245" t="inlineStr">
        <is>
          <t>Website</t>
        </is>
      </c>
      <c r="U245" t="inlineStr"/>
      <c r="V245">
        <f>IF(S245="",1,0)</f>
        <v/>
      </c>
      <c r="W245">
        <f>IF(J245="",1,0)</f>
        <v/>
      </c>
      <c r="X245">
        <f>IF(F245="",1,0)</f>
        <v/>
      </c>
      <c r="Y245">
        <f>IF(AND(AND(H245&lt;&gt;"Mass production",H245&lt;&gt;"Lost"),DATEVALUE(Q245)&lt;DATE(2026,10,20)),1,0)</f>
        <v/>
      </c>
      <c r="Z245">
        <f>IF(AND(AND(H245&lt;&gt;"Mass production",H245&lt;&gt;"Lost"),R245&gt;30),1,0)</f>
        <v/>
      </c>
      <c r="AA245">
        <f>IF(COUNTIFS($G$2:$G$247,G245,$F$2:$F$247,F245,$J$2:$J$247,J245,$K$2:$K$247,K245)&gt;1,1,0)</f>
        <v/>
      </c>
      <c r="AB245">
        <f>SUM(V245:AA245)</f>
        <v/>
      </c>
    </row>
    <row r="246">
      <c r="A246" t="inlineStr">
        <is>
          <t>OPP-26244</t>
        </is>
      </c>
      <c r="B246" t="inlineStr">
        <is>
          <t>Bluecell Labs GmbH</t>
        </is>
      </c>
      <c r="C246" t="inlineStr">
        <is>
          <t>Southern Europe</t>
        </is>
      </c>
      <c r="D246" t="inlineStr">
        <is>
          <t>Portugal</t>
        </is>
      </c>
      <c r="E246" t="inlineStr">
        <is>
          <t>A. Garcia</t>
        </is>
      </c>
      <c r="F246" t="inlineStr">
        <is>
          <t>Healthcare</t>
        </is>
      </c>
      <c r="G246" t="inlineStr">
        <is>
          <t>5G eMBB</t>
        </is>
      </c>
      <c r="H246" t="inlineStr">
        <is>
          <t>Lead</t>
        </is>
      </c>
      <c r="I246" t="n">
        <v>0.05</v>
      </c>
      <c r="J246" t="n">
        <v>8000</v>
      </c>
      <c r="K246" t="n">
        <v>133.13</v>
      </c>
      <c r="L246" t="n">
        <v>2</v>
      </c>
      <c r="M246" t="n">
        <v>1065040</v>
      </c>
      <c r="N246" t="n">
        <v>2130080</v>
      </c>
      <c r="O246" t="n">
        <v>106504</v>
      </c>
      <c r="P246" t="inlineStr">
        <is>
          <t>2026-01-18</t>
        </is>
      </c>
      <c r="Q246" t="inlineStr">
        <is>
          <t>2026-09-26</t>
        </is>
      </c>
      <c r="R246" t="n">
        <v>45</v>
      </c>
      <c r="S246" t="inlineStr">
        <is>
          <t>Price negotiation</t>
        </is>
      </c>
      <c r="T246" t="inlineStr">
        <is>
          <t>Distributor</t>
        </is>
      </c>
      <c r="U246" t="inlineStr"/>
      <c r="V246">
        <f>IF(S246="",1,0)</f>
        <v/>
      </c>
      <c r="W246">
        <f>IF(J246="",1,0)</f>
        <v/>
      </c>
      <c r="X246">
        <f>IF(F246="",1,0)</f>
        <v/>
      </c>
      <c r="Y246">
        <f>IF(AND(AND(H246&lt;&gt;"Mass production",H246&lt;&gt;"Lost"),DATEVALUE(Q246)&lt;DATE(2026,10,20)),1,0)</f>
        <v/>
      </c>
      <c r="Z246">
        <f>IF(AND(AND(H246&lt;&gt;"Mass production",H246&lt;&gt;"Lost"),R246&gt;30),1,0)</f>
        <v/>
      </c>
      <c r="AA246">
        <f>IF(COUNTIFS($G$2:$G$247,G246,$F$2:$F$247,F246,$J$2:$J$247,J246,$K$2:$K$247,K246)&gt;1,1,0)</f>
        <v/>
      </c>
      <c r="AB246">
        <f>SUM(V246:AA246)</f>
        <v/>
      </c>
    </row>
    <row r="247">
      <c r="A247" t="inlineStr">
        <is>
          <t>OPP-26245</t>
        </is>
      </c>
      <c r="B247" t="inlineStr">
        <is>
          <t>CORVID SYSTEMS</t>
        </is>
      </c>
      <c r="C247" t="inlineStr">
        <is>
          <t>France &amp; Benelux</t>
        </is>
      </c>
      <c r="D247" t="inlineStr">
        <is>
          <t>Belgium</t>
        </is>
      </c>
      <c r="E247" t="inlineStr">
        <is>
          <t>C. Martin</t>
        </is>
      </c>
      <c r="F247" t="inlineStr">
        <is>
          <t>Telematics</t>
        </is>
      </c>
      <c r="G247" t="inlineStr">
        <is>
          <t>LTE-M / NB-IoT</t>
        </is>
      </c>
      <c r="H247" t="inlineStr">
        <is>
          <t>Sample / Evaluation</t>
        </is>
      </c>
      <c r="I247" t="n">
        <v>0.2</v>
      </c>
      <c r="J247" t="n">
        <v>5000</v>
      </c>
      <c r="K247" t="n">
        <v>5.94</v>
      </c>
      <c r="L247" t="n">
        <v>4</v>
      </c>
      <c r="M247" t="n">
        <v>29700</v>
      </c>
      <c r="N247" t="n">
        <v>118800</v>
      </c>
      <c r="O247" t="n">
        <v>23760</v>
      </c>
      <c r="P247" t="inlineStr">
        <is>
          <t>2025-12-22</t>
        </is>
      </c>
      <c r="Q247" t="inlineStr">
        <is>
          <t>2026-10-10</t>
        </is>
      </c>
      <c r="R247" t="n">
        <v>102</v>
      </c>
      <c r="S247" t="inlineStr">
        <is>
          <t>Certification plan</t>
        </is>
      </c>
      <c r="T247" t="inlineStr">
        <is>
          <t>Distributor</t>
        </is>
      </c>
      <c r="U247" t="inlineStr"/>
      <c r="V247">
        <f>IF(S247="",1,0)</f>
        <v/>
      </c>
      <c r="W247">
        <f>IF(J247="",1,0)</f>
        <v/>
      </c>
      <c r="X247">
        <f>IF(F247="",1,0)</f>
        <v/>
      </c>
      <c r="Y247">
        <f>IF(AND(AND(H247&lt;&gt;"Mass production",H247&lt;&gt;"Lost"),DATEVALUE(Q247)&lt;DATE(2026,10,20)),1,0)</f>
        <v/>
      </c>
      <c r="Z247">
        <f>IF(AND(AND(H247&lt;&gt;"Mass production",H247&lt;&gt;"Lost"),R247&gt;30),1,0)</f>
        <v/>
      </c>
      <c r="AA247">
        <f>IF(COUNTIFS($G$2:$G$247,G247,$F$2:$F$247,F247,$J$2:$J$247,J247,$K$2:$K$247,K247)&gt;1,1,0)</f>
        <v/>
      </c>
      <c r="AB247">
        <f>SUM(V247:AA247)</f>
        <v/>
      </c>
    </row>
  </sheetData>
  <autoFilter ref="A1:AB247"/>
  <conditionalFormatting sqref="AB2:AB247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4" t="inlineStr">
        <is>
          <t>Lifetime value (USD) by stage and region</t>
        </is>
      </c>
    </row>
    <row r="2">
      <c r="A2" s="5" t="inlineStr">
        <is>
          <t>Stage</t>
        </is>
      </c>
      <c r="B2" s="5" t="inlineStr">
        <is>
          <t>DACH</t>
        </is>
      </c>
      <c r="C2" s="5" t="inlineStr">
        <is>
          <t>UK &amp; Ireland</t>
        </is>
      </c>
      <c r="D2" s="5" t="inlineStr">
        <is>
          <t>France &amp; Benelux</t>
        </is>
      </c>
      <c r="E2" s="5" t="inlineStr">
        <is>
          <t>Southern Europe</t>
        </is>
      </c>
      <c r="F2" s="5" t="inlineStr">
        <is>
          <t>Nordics</t>
        </is>
      </c>
      <c r="G2" s="5" t="inlineStr">
        <is>
          <t>CEE</t>
        </is>
      </c>
      <c r="H2" s="5" t="inlineStr">
        <is>
          <t>Middle East &amp; Africa</t>
        </is>
      </c>
      <c r="I2" s="5" t="inlineStr">
        <is>
          <t>Total</t>
        </is>
      </c>
    </row>
    <row r="3">
      <c r="A3" t="inlineStr">
        <is>
          <t>Lead</t>
        </is>
      </c>
      <c r="B3" s="6">
        <f>SUMIFS(Opportunities!$N$2:$N$247,Opportunities!$H$2:$H$247,$A3,Opportunities!$C$2:$C$247,B$2)</f>
        <v/>
      </c>
      <c r="C3" s="6">
        <f>SUMIFS(Opportunities!$N$2:$N$247,Opportunities!$H$2:$H$247,$A3,Opportunities!$C$2:$C$247,C$2)</f>
        <v/>
      </c>
      <c r="D3" s="6">
        <f>SUMIFS(Opportunities!$N$2:$N$247,Opportunities!$H$2:$H$247,$A3,Opportunities!$C$2:$C$247,D$2)</f>
        <v/>
      </c>
      <c r="E3" s="6">
        <f>SUMIFS(Opportunities!$N$2:$N$247,Opportunities!$H$2:$H$247,$A3,Opportunities!$C$2:$C$247,E$2)</f>
        <v/>
      </c>
      <c r="F3" s="6">
        <f>SUMIFS(Opportunities!$N$2:$N$247,Opportunities!$H$2:$H$247,$A3,Opportunities!$C$2:$C$247,F$2)</f>
        <v/>
      </c>
      <c r="G3" s="6">
        <f>SUMIFS(Opportunities!$N$2:$N$247,Opportunities!$H$2:$H$247,$A3,Opportunities!$C$2:$C$247,G$2)</f>
        <v/>
      </c>
      <c r="H3" s="6">
        <f>SUMIFS(Opportunities!$N$2:$N$247,Opportunities!$H$2:$H$247,$A3,Opportunities!$C$2:$C$247,H$2)</f>
        <v/>
      </c>
      <c r="I3" s="6">
        <f>SUM(B3:H3)</f>
        <v/>
      </c>
    </row>
    <row r="4">
      <c r="A4" t="inlineStr">
        <is>
          <t>Qualified</t>
        </is>
      </c>
      <c r="B4" s="6">
        <f>SUMIFS(Opportunities!$N$2:$N$247,Opportunities!$H$2:$H$247,$A4,Opportunities!$C$2:$C$247,B$2)</f>
        <v/>
      </c>
      <c r="C4" s="6">
        <f>SUMIFS(Opportunities!$N$2:$N$247,Opportunities!$H$2:$H$247,$A4,Opportunities!$C$2:$C$247,C$2)</f>
        <v/>
      </c>
      <c r="D4" s="6">
        <f>SUMIFS(Opportunities!$N$2:$N$247,Opportunities!$H$2:$H$247,$A4,Opportunities!$C$2:$C$247,D$2)</f>
        <v/>
      </c>
      <c r="E4" s="6">
        <f>SUMIFS(Opportunities!$N$2:$N$247,Opportunities!$H$2:$H$247,$A4,Opportunities!$C$2:$C$247,E$2)</f>
        <v/>
      </c>
      <c r="F4" s="6">
        <f>SUMIFS(Opportunities!$N$2:$N$247,Opportunities!$H$2:$H$247,$A4,Opportunities!$C$2:$C$247,F$2)</f>
        <v/>
      </c>
      <c r="G4" s="6">
        <f>SUMIFS(Opportunities!$N$2:$N$247,Opportunities!$H$2:$H$247,$A4,Opportunities!$C$2:$C$247,G$2)</f>
        <v/>
      </c>
      <c r="H4" s="6">
        <f>SUMIFS(Opportunities!$N$2:$N$247,Opportunities!$H$2:$H$247,$A4,Opportunities!$C$2:$C$247,H$2)</f>
        <v/>
      </c>
      <c r="I4" s="6">
        <f>SUM(B4:H4)</f>
        <v/>
      </c>
    </row>
    <row r="5">
      <c r="A5" t="inlineStr">
        <is>
          <t>Sample / Evaluation</t>
        </is>
      </c>
      <c r="B5" s="6">
        <f>SUMIFS(Opportunities!$N$2:$N$247,Opportunities!$H$2:$H$247,$A5,Opportunities!$C$2:$C$247,B$2)</f>
        <v/>
      </c>
      <c r="C5" s="6">
        <f>SUMIFS(Opportunities!$N$2:$N$247,Opportunities!$H$2:$H$247,$A5,Opportunities!$C$2:$C$247,C$2)</f>
        <v/>
      </c>
      <c r="D5" s="6">
        <f>SUMIFS(Opportunities!$N$2:$N$247,Opportunities!$H$2:$H$247,$A5,Opportunities!$C$2:$C$247,D$2)</f>
        <v/>
      </c>
      <c r="E5" s="6">
        <f>SUMIFS(Opportunities!$N$2:$N$247,Opportunities!$H$2:$H$247,$A5,Opportunities!$C$2:$C$247,E$2)</f>
        <v/>
      </c>
      <c r="F5" s="6">
        <f>SUMIFS(Opportunities!$N$2:$N$247,Opportunities!$H$2:$H$247,$A5,Opportunities!$C$2:$C$247,F$2)</f>
        <v/>
      </c>
      <c r="G5" s="6">
        <f>SUMIFS(Opportunities!$N$2:$N$247,Opportunities!$H$2:$H$247,$A5,Opportunities!$C$2:$C$247,G$2)</f>
        <v/>
      </c>
      <c r="H5" s="6">
        <f>SUMIFS(Opportunities!$N$2:$N$247,Opportunities!$H$2:$H$247,$A5,Opportunities!$C$2:$C$247,H$2)</f>
        <v/>
      </c>
      <c r="I5" s="6">
        <f>SUM(B5:H5)</f>
        <v/>
      </c>
    </row>
    <row r="6">
      <c r="A6" t="inlineStr">
        <is>
          <t>Design-in</t>
        </is>
      </c>
      <c r="B6" s="6">
        <f>SUMIFS(Opportunities!$N$2:$N$247,Opportunities!$H$2:$H$247,$A6,Opportunities!$C$2:$C$247,B$2)</f>
        <v/>
      </c>
      <c r="C6" s="6">
        <f>SUMIFS(Opportunities!$N$2:$N$247,Opportunities!$H$2:$H$247,$A6,Opportunities!$C$2:$C$247,C$2)</f>
        <v/>
      </c>
      <c r="D6" s="6">
        <f>SUMIFS(Opportunities!$N$2:$N$247,Opportunities!$H$2:$H$247,$A6,Opportunities!$C$2:$C$247,D$2)</f>
        <v/>
      </c>
      <c r="E6" s="6">
        <f>SUMIFS(Opportunities!$N$2:$N$247,Opportunities!$H$2:$H$247,$A6,Opportunities!$C$2:$C$247,E$2)</f>
        <v/>
      </c>
      <c r="F6" s="6">
        <f>SUMIFS(Opportunities!$N$2:$N$247,Opportunities!$H$2:$H$247,$A6,Opportunities!$C$2:$C$247,F$2)</f>
        <v/>
      </c>
      <c r="G6" s="6">
        <f>SUMIFS(Opportunities!$N$2:$N$247,Opportunities!$H$2:$H$247,$A6,Opportunities!$C$2:$C$247,G$2)</f>
        <v/>
      </c>
      <c r="H6" s="6">
        <f>SUMIFS(Opportunities!$N$2:$N$247,Opportunities!$H$2:$H$247,$A6,Opportunities!$C$2:$C$247,H$2)</f>
        <v/>
      </c>
      <c r="I6" s="6">
        <f>SUM(B6:H6)</f>
        <v/>
      </c>
    </row>
    <row r="7">
      <c r="A7" t="inlineStr">
        <is>
          <t>Design-win</t>
        </is>
      </c>
      <c r="B7" s="6">
        <f>SUMIFS(Opportunities!$N$2:$N$247,Opportunities!$H$2:$H$247,$A7,Opportunities!$C$2:$C$247,B$2)</f>
        <v/>
      </c>
      <c r="C7" s="6">
        <f>SUMIFS(Opportunities!$N$2:$N$247,Opportunities!$H$2:$H$247,$A7,Opportunities!$C$2:$C$247,C$2)</f>
        <v/>
      </c>
      <c r="D7" s="6">
        <f>SUMIFS(Opportunities!$N$2:$N$247,Opportunities!$H$2:$H$247,$A7,Opportunities!$C$2:$C$247,D$2)</f>
        <v/>
      </c>
      <c r="E7" s="6">
        <f>SUMIFS(Opportunities!$N$2:$N$247,Opportunities!$H$2:$H$247,$A7,Opportunities!$C$2:$C$247,E$2)</f>
        <v/>
      </c>
      <c r="F7" s="6">
        <f>SUMIFS(Opportunities!$N$2:$N$247,Opportunities!$H$2:$H$247,$A7,Opportunities!$C$2:$C$247,F$2)</f>
        <v/>
      </c>
      <c r="G7" s="6">
        <f>SUMIFS(Opportunities!$N$2:$N$247,Opportunities!$H$2:$H$247,$A7,Opportunities!$C$2:$C$247,G$2)</f>
        <v/>
      </c>
      <c r="H7" s="6">
        <f>SUMIFS(Opportunities!$N$2:$N$247,Opportunities!$H$2:$H$247,$A7,Opportunities!$C$2:$C$247,H$2)</f>
        <v/>
      </c>
      <c r="I7" s="6">
        <f>SUM(B7:H7)</f>
        <v/>
      </c>
    </row>
    <row r="8">
      <c r="A8" t="inlineStr">
        <is>
          <t>Pilot</t>
        </is>
      </c>
      <c r="B8" s="6">
        <f>SUMIFS(Opportunities!$N$2:$N$247,Opportunities!$H$2:$H$247,$A8,Opportunities!$C$2:$C$247,B$2)</f>
        <v/>
      </c>
      <c r="C8" s="6">
        <f>SUMIFS(Opportunities!$N$2:$N$247,Opportunities!$H$2:$H$247,$A8,Opportunities!$C$2:$C$247,C$2)</f>
        <v/>
      </c>
      <c r="D8" s="6">
        <f>SUMIFS(Opportunities!$N$2:$N$247,Opportunities!$H$2:$H$247,$A8,Opportunities!$C$2:$C$247,D$2)</f>
        <v/>
      </c>
      <c r="E8" s="6">
        <f>SUMIFS(Opportunities!$N$2:$N$247,Opportunities!$H$2:$H$247,$A8,Opportunities!$C$2:$C$247,E$2)</f>
        <v/>
      </c>
      <c r="F8" s="6">
        <f>SUMIFS(Opportunities!$N$2:$N$247,Opportunities!$H$2:$H$247,$A8,Opportunities!$C$2:$C$247,F$2)</f>
        <v/>
      </c>
      <c r="G8" s="6">
        <f>SUMIFS(Opportunities!$N$2:$N$247,Opportunities!$H$2:$H$247,$A8,Opportunities!$C$2:$C$247,G$2)</f>
        <v/>
      </c>
      <c r="H8" s="6">
        <f>SUMIFS(Opportunities!$N$2:$N$247,Opportunities!$H$2:$H$247,$A8,Opportunities!$C$2:$C$247,H$2)</f>
        <v/>
      </c>
      <c r="I8" s="6">
        <f>SUM(B8:H8)</f>
        <v/>
      </c>
    </row>
    <row r="9">
      <c r="A9" t="inlineStr">
        <is>
          <t>Mass production</t>
        </is>
      </c>
      <c r="B9" s="6">
        <f>SUMIFS(Opportunities!$N$2:$N$247,Opportunities!$H$2:$H$247,$A9,Opportunities!$C$2:$C$247,B$2)</f>
        <v/>
      </c>
      <c r="C9" s="6">
        <f>SUMIFS(Opportunities!$N$2:$N$247,Opportunities!$H$2:$H$247,$A9,Opportunities!$C$2:$C$247,C$2)</f>
        <v/>
      </c>
      <c r="D9" s="6">
        <f>SUMIFS(Opportunities!$N$2:$N$247,Opportunities!$H$2:$H$247,$A9,Opportunities!$C$2:$C$247,D$2)</f>
        <v/>
      </c>
      <c r="E9" s="6">
        <f>SUMIFS(Opportunities!$N$2:$N$247,Opportunities!$H$2:$H$247,$A9,Opportunities!$C$2:$C$247,E$2)</f>
        <v/>
      </c>
      <c r="F9" s="6">
        <f>SUMIFS(Opportunities!$N$2:$N$247,Opportunities!$H$2:$H$247,$A9,Opportunities!$C$2:$C$247,F$2)</f>
        <v/>
      </c>
      <c r="G9" s="6">
        <f>SUMIFS(Opportunities!$N$2:$N$247,Opportunities!$H$2:$H$247,$A9,Opportunities!$C$2:$C$247,G$2)</f>
        <v/>
      </c>
      <c r="H9" s="6">
        <f>SUMIFS(Opportunities!$N$2:$N$247,Opportunities!$H$2:$H$247,$A9,Opportunities!$C$2:$C$247,H$2)</f>
        <v/>
      </c>
      <c r="I9" s="6">
        <f>SUM(B9:H9)</f>
        <v/>
      </c>
    </row>
    <row r="10">
      <c r="A10" t="inlineStr">
        <is>
          <t>Lost</t>
        </is>
      </c>
      <c r="B10" s="6">
        <f>SUMIFS(Opportunities!$N$2:$N$247,Opportunities!$H$2:$H$247,$A10,Opportunities!$C$2:$C$247,B$2)</f>
        <v/>
      </c>
      <c r="C10" s="6">
        <f>SUMIFS(Opportunities!$N$2:$N$247,Opportunities!$H$2:$H$247,$A10,Opportunities!$C$2:$C$247,C$2)</f>
        <v/>
      </c>
      <c r="D10" s="6">
        <f>SUMIFS(Opportunities!$N$2:$N$247,Opportunities!$H$2:$H$247,$A10,Opportunities!$C$2:$C$247,D$2)</f>
        <v/>
      </c>
      <c r="E10" s="6">
        <f>SUMIFS(Opportunities!$N$2:$N$247,Opportunities!$H$2:$H$247,$A10,Opportunities!$C$2:$C$247,E$2)</f>
        <v/>
      </c>
      <c r="F10" s="6">
        <f>SUMIFS(Opportunities!$N$2:$N$247,Opportunities!$H$2:$H$247,$A10,Opportunities!$C$2:$C$247,F$2)</f>
        <v/>
      </c>
      <c r="G10" s="6">
        <f>SUMIFS(Opportunities!$N$2:$N$247,Opportunities!$H$2:$H$247,$A10,Opportunities!$C$2:$C$247,G$2)</f>
        <v/>
      </c>
      <c r="H10" s="6">
        <f>SUMIFS(Opportunities!$N$2:$N$247,Opportunities!$H$2:$H$247,$A10,Opportunities!$C$2:$C$247,H$2)</f>
        <v/>
      </c>
      <c r="I10" s="6">
        <f>SUM(B10:H10)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5" customWidth="1" min="4" max="4"/>
    <col width="12" customWidth="1" min="5" max="5"/>
    <col width="18" customWidth="1" min="6" max="6"/>
    <col width="18" customWidth="1" min="7" max="7"/>
  </cols>
  <sheetData>
    <row r="1" ht="22" customHeight="1">
      <c r="A1" s="3" t="inlineStr">
        <is>
          <t>Region</t>
        </is>
      </c>
      <c r="B1" s="3" t="inlineStr">
        <is>
          <t>Records</t>
        </is>
      </c>
      <c r="C1" s="3" t="inlineStr">
        <is>
          <t>Records with issues</t>
        </is>
      </c>
      <c r="D1" s="3" t="inlineStr">
        <is>
          <t>Completeness %</t>
        </is>
      </c>
      <c r="E1" s="3" t="inlineStr">
        <is>
          <t>Stale open</t>
        </is>
      </c>
      <c r="F1" s="3" t="inlineStr">
        <is>
          <t>Close date in past</t>
        </is>
      </c>
      <c r="G1" s="3" t="inlineStr">
        <is>
          <t>Possible duplicates</t>
        </is>
      </c>
    </row>
    <row r="2">
      <c r="A2" t="inlineStr">
        <is>
          <t>DACH</t>
        </is>
      </c>
      <c r="B2">
        <f>COUNTIF(Opportunities!$C$2:$C$247,A2)</f>
        <v/>
      </c>
      <c r="C2">
        <f>COUNTIFS(Opportunities!$C$2:$C$247,A2,Opportunities!$AB$2:$AB$247,"&gt;0")</f>
        <v/>
      </c>
      <c r="D2" s="7">
        <f>IF(B2=0,0,1-C2/B2)</f>
        <v/>
      </c>
      <c r="E2">
        <f>SUMIFS(Opportunities!$Z$2:$Z$247,Opportunities!$C$2:$C$247,A2)</f>
        <v/>
      </c>
      <c r="F2">
        <f>SUMIFS(Opportunities!$Y$2:$Y$247,Opportunities!$C$2:$C$247,A2)</f>
        <v/>
      </c>
      <c r="G2">
        <f>SUMIFS(Opportunities!$AA$2:$AA$247,Opportunities!$C$2:$C$247,A2)</f>
        <v/>
      </c>
    </row>
    <row r="3">
      <c r="A3" t="inlineStr">
        <is>
          <t>UK &amp; Ireland</t>
        </is>
      </c>
      <c r="B3">
        <f>COUNTIF(Opportunities!$C$2:$C$247,A3)</f>
        <v/>
      </c>
      <c r="C3">
        <f>COUNTIFS(Opportunities!$C$2:$C$247,A3,Opportunities!$AB$2:$AB$247,"&gt;0")</f>
        <v/>
      </c>
      <c r="D3" s="7">
        <f>IF(B3=0,0,1-C3/B3)</f>
        <v/>
      </c>
      <c r="E3">
        <f>SUMIFS(Opportunities!$Z$2:$Z$247,Opportunities!$C$2:$C$247,A3)</f>
        <v/>
      </c>
      <c r="F3">
        <f>SUMIFS(Opportunities!$Y$2:$Y$247,Opportunities!$C$2:$C$247,A3)</f>
        <v/>
      </c>
      <c r="G3">
        <f>SUMIFS(Opportunities!$AA$2:$AA$247,Opportunities!$C$2:$C$247,A3)</f>
        <v/>
      </c>
    </row>
    <row r="4">
      <c r="A4" t="inlineStr">
        <is>
          <t>France &amp; Benelux</t>
        </is>
      </c>
      <c r="B4">
        <f>COUNTIF(Opportunities!$C$2:$C$247,A4)</f>
        <v/>
      </c>
      <c r="C4">
        <f>COUNTIFS(Opportunities!$C$2:$C$247,A4,Opportunities!$AB$2:$AB$247,"&gt;0")</f>
        <v/>
      </c>
      <c r="D4" s="7">
        <f>IF(B4=0,0,1-C4/B4)</f>
        <v/>
      </c>
      <c r="E4">
        <f>SUMIFS(Opportunities!$Z$2:$Z$247,Opportunities!$C$2:$C$247,A4)</f>
        <v/>
      </c>
      <c r="F4">
        <f>SUMIFS(Opportunities!$Y$2:$Y$247,Opportunities!$C$2:$C$247,A4)</f>
        <v/>
      </c>
      <c r="G4">
        <f>SUMIFS(Opportunities!$AA$2:$AA$247,Opportunities!$C$2:$C$247,A4)</f>
        <v/>
      </c>
    </row>
    <row r="5">
      <c r="A5" t="inlineStr">
        <is>
          <t>Southern Europe</t>
        </is>
      </c>
      <c r="B5">
        <f>COUNTIF(Opportunities!$C$2:$C$247,A5)</f>
        <v/>
      </c>
      <c r="C5">
        <f>COUNTIFS(Opportunities!$C$2:$C$247,A5,Opportunities!$AB$2:$AB$247,"&gt;0")</f>
        <v/>
      </c>
      <c r="D5" s="7">
        <f>IF(B5=0,0,1-C5/B5)</f>
        <v/>
      </c>
      <c r="E5">
        <f>SUMIFS(Opportunities!$Z$2:$Z$247,Opportunities!$C$2:$C$247,A5)</f>
        <v/>
      </c>
      <c r="F5">
        <f>SUMIFS(Opportunities!$Y$2:$Y$247,Opportunities!$C$2:$C$247,A5)</f>
        <v/>
      </c>
      <c r="G5">
        <f>SUMIFS(Opportunities!$AA$2:$AA$247,Opportunities!$C$2:$C$247,A5)</f>
        <v/>
      </c>
    </row>
    <row r="6">
      <c r="A6" t="inlineStr">
        <is>
          <t>Nordics</t>
        </is>
      </c>
      <c r="B6">
        <f>COUNTIF(Opportunities!$C$2:$C$247,A6)</f>
        <v/>
      </c>
      <c r="C6">
        <f>COUNTIFS(Opportunities!$C$2:$C$247,A6,Opportunities!$AB$2:$AB$247,"&gt;0")</f>
        <v/>
      </c>
      <c r="D6" s="7">
        <f>IF(B6=0,0,1-C6/B6)</f>
        <v/>
      </c>
      <c r="E6">
        <f>SUMIFS(Opportunities!$Z$2:$Z$247,Opportunities!$C$2:$C$247,A6)</f>
        <v/>
      </c>
      <c r="F6">
        <f>SUMIFS(Opportunities!$Y$2:$Y$247,Opportunities!$C$2:$C$247,A6)</f>
        <v/>
      </c>
      <c r="G6">
        <f>SUMIFS(Opportunities!$AA$2:$AA$247,Opportunities!$C$2:$C$247,A6)</f>
        <v/>
      </c>
    </row>
    <row r="7">
      <c r="A7" t="inlineStr">
        <is>
          <t>CEE</t>
        </is>
      </c>
      <c r="B7">
        <f>COUNTIF(Opportunities!$C$2:$C$247,A7)</f>
        <v/>
      </c>
      <c r="C7">
        <f>COUNTIFS(Opportunities!$C$2:$C$247,A7,Opportunities!$AB$2:$AB$247,"&gt;0")</f>
        <v/>
      </c>
      <c r="D7" s="7">
        <f>IF(B7=0,0,1-C7/B7)</f>
        <v/>
      </c>
      <c r="E7">
        <f>SUMIFS(Opportunities!$Z$2:$Z$247,Opportunities!$C$2:$C$247,A7)</f>
        <v/>
      </c>
      <c r="F7">
        <f>SUMIFS(Opportunities!$Y$2:$Y$247,Opportunities!$C$2:$C$247,A7)</f>
        <v/>
      </c>
      <c r="G7">
        <f>SUMIFS(Opportunities!$AA$2:$AA$247,Opportunities!$C$2:$C$247,A7)</f>
        <v/>
      </c>
    </row>
    <row r="8">
      <c r="A8" t="inlineStr">
        <is>
          <t>Middle East &amp; Africa</t>
        </is>
      </c>
      <c r="B8">
        <f>COUNTIF(Opportunities!$C$2:$C$247,A8)</f>
        <v/>
      </c>
      <c r="C8">
        <f>COUNTIFS(Opportunities!$C$2:$C$247,A8,Opportunities!$AB$2:$AB$247,"&gt;0")</f>
        <v/>
      </c>
      <c r="D8" s="7">
        <f>IF(B8=0,0,1-C8/B8)</f>
        <v/>
      </c>
      <c r="E8">
        <f>SUMIFS(Opportunities!$Z$2:$Z$247,Opportunities!$C$2:$C$247,A8)</f>
        <v/>
      </c>
      <c r="F8">
        <f>SUMIFS(Opportunities!$Y$2:$Y$247,Opportunities!$C$2:$C$247,A8)</f>
        <v/>
      </c>
      <c r="G8">
        <f>SUMIFS(Opportunities!$AA$2:$AA$247,Opportunities!$C$2:$C$247,A8)</f>
        <v/>
      </c>
    </row>
  </sheetData>
  <conditionalFormatting sqref="D2:D8">
    <cfRule type="cellIs" priority="1" operator="lessThan" dxfId="0">
      <formula>0.95</formula>
    </cfRule>
    <cfRule type="cellIs" priority="2" operator="greaterThanOrEqual" dxfId="1">
      <formula>0.95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3" t="inlineStr">
        <is>
          <t>Quarter</t>
        </is>
      </c>
      <c r="B1" s="3" t="inlineStr">
        <is>
          <t>Forecast (M USD)</t>
        </is>
      </c>
      <c r="C1" s="3" t="inlineStr">
        <is>
          <t>Actual (M USD)</t>
        </is>
      </c>
      <c r="D1" s="3" t="inlineStr">
        <is>
          <t>Variance</t>
        </is>
      </c>
      <c r="E1" s="3" t="inlineStr">
        <is>
          <t>Accuracy %</t>
        </is>
      </c>
    </row>
    <row r="2">
      <c r="A2" t="inlineStr">
        <is>
          <t>Q3 25</t>
        </is>
      </c>
      <c r="B2" t="n">
        <v>8.199999999999999</v>
      </c>
      <c r="C2" t="n">
        <v>7.4</v>
      </c>
      <c r="D2">
        <f>IF(C2="","",C2-B2)</f>
        <v/>
      </c>
      <c r="E2" s="7">
        <f>IF(C2="","",1-ABS(C2-B2)/B2)</f>
        <v/>
      </c>
    </row>
    <row r="3">
      <c r="A3" t="inlineStr">
        <is>
          <t>Q4 25</t>
        </is>
      </c>
      <c r="B3" t="n">
        <v>8.9</v>
      </c>
      <c r="C3" t="n">
        <v>9.199999999999999</v>
      </c>
      <c r="D3">
        <f>IF(C3="","",C3-B3)</f>
        <v/>
      </c>
      <c r="E3" s="7">
        <f>IF(C3="","",1-ABS(C3-B3)/B3)</f>
        <v/>
      </c>
    </row>
    <row r="4">
      <c r="A4" t="inlineStr">
        <is>
          <t>Q1 26</t>
        </is>
      </c>
      <c r="B4" t="n">
        <v>9.4</v>
      </c>
      <c r="C4" t="n">
        <v>8.300000000000001</v>
      </c>
      <c r="D4">
        <f>IF(C4="","",C4-B4)</f>
        <v/>
      </c>
      <c r="E4" s="7">
        <f>IF(C4="","",1-ABS(C4-B4)/B4)</f>
        <v/>
      </c>
    </row>
    <row r="5">
      <c r="A5" t="inlineStr">
        <is>
          <t>Q2 26</t>
        </is>
      </c>
      <c r="B5" t="n">
        <v>9.9</v>
      </c>
      <c r="C5" t="n">
        <v>9.6</v>
      </c>
      <c r="D5">
        <f>IF(C5="","",C5-B5)</f>
        <v/>
      </c>
      <c r="E5" s="7">
        <f>IF(C5="","",1-ABS(C5-B5)/B5)</f>
        <v/>
      </c>
    </row>
    <row r="6">
      <c r="A6" t="inlineStr">
        <is>
          <t>Q3 26</t>
        </is>
      </c>
      <c r="B6" t="n">
        <v>10.6</v>
      </c>
      <c r="C6" t="n">
        <v>10.3</v>
      </c>
      <c r="D6">
        <f>IF(C6="","",C6-B6)</f>
        <v/>
      </c>
      <c r="E6" s="7">
        <f>IF(C6="","",1-ABS(C6-B6)/B6)</f>
        <v/>
      </c>
    </row>
    <row r="7">
      <c r="A7" t="inlineStr">
        <is>
          <t>Q4 26</t>
        </is>
      </c>
      <c r="B7" t="n">
        <v>11.2</v>
      </c>
      <c r="D7">
        <f>IF(C7="","",C7-B7)</f>
        <v/>
      </c>
      <c r="E7" s="7">
        <f>IF(C7="","",1-ABS(C7-B7)/B7)</f>
        <v/>
      </c>
    </row>
  </sheetData>
  <conditionalFormatting sqref="E2:E7">
    <cfRule type="expression" priority="1" dxfId="0">
      <formula>AND(E2&lt;&gt;"",E2&lt;0.9)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22" customHeight="1">
      <c r="A1" s="3" t="inlineStr">
        <is>
          <t>Event</t>
        </is>
      </c>
      <c r="B1" s="3" t="inlineStr">
        <is>
          <t>City</t>
        </is>
      </c>
      <c r="C1" s="3" t="inlineStr">
        <is>
          <t>Month</t>
        </is>
      </c>
      <c r="D1" s="3" t="inlineStr">
        <is>
          <t>Cost (EUR)</t>
        </is>
      </c>
      <c r="E1" s="3" t="inlineStr">
        <is>
          <t>Meetings</t>
        </is>
      </c>
      <c r="F1" s="3" t="inlineStr">
        <is>
          <t>Leads</t>
        </is>
      </c>
      <c r="G1" s="3" t="inlineStr">
        <is>
          <t>Qualified</t>
        </is>
      </c>
      <c r="H1" s="3" t="inlineStr">
        <is>
          <t>Opportunities</t>
        </is>
      </c>
      <c r="I1" s="3" t="inlineStr">
        <is>
          <t>Pipeline (EUR)</t>
        </is>
      </c>
      <c r="J1" s="3" t="inlineStr">
        <is>
          <t>Lead to qualified %</t>
        </is>
      </c>
      <c r="K1" s="3" t="inlineStr">
        <is>
          <t>Cost per qualified lead</t>
        </is>
      </c>
      <c r="L1" s="3" t="inlineStr">
        <is>
          <t>Pipeline per EUR</t>
        </is>
      </c>
    </row>
    <row r="2">
      <c r="A2" t="inlineStr">
        <is>
          <t>Embedded World</t>
        </is>
      </c>
      <c r="B2" t="inlineStr">
        <is>
          <t>Nuremberg</t>
        </is>
      </c>
      <c r="C2" t="inlineStr">
        <is>
          <t>Mar 2026</t>
        </is>
      </c>
      <c r="D2" s="6" t="n">
        <v>92000</v>
      </c>
      <c r="E2" t="n">
        <v>148</v>
      </c>
      <c r="F2" t="n">
        <v>412</v>
      </c>
      <c r="G2" t="n">
        <v>131</v>
      </c>
      <c r="H2" t="n">
        <v>38</v>
      </c>
      <c r="I2" s="6" t="n">
        <v>9400000</v>
      </c>
      <c r="J2" s="7">
        <f>IF(F2="","",G2/F2)</f>
        <v/>
      </c>
      <c r="K2" s="6">
        <f>IF(G2="","",D2/G2)</f>
        <v/>
      </c>
      <c r="L2" s="8">
        <f>IF(I2="","",I2/D2)</f>
        <v/>
      </c>
    </row>
    <row r="3">
      <c r="A3" t="inlineStr">
        <is>
          <t>MWC</t>
        </is>
      </c>
      <c r="B3" t="inlineStr">
        <is>
          <t>Barcelona</t>
        </is>
      </c>
      <c r="C3" t="inlineStr">
        <is>
          <t>Mar 2026</t>
        </is>
      </c>
      <c r="D3" s="6" t="n">
        <v>118000</v>
      </c>
      <c r="E3" t="n">
        <v>96</v>
      </c>
      <c r="F3" t="n">
        <v>265</v>
      </c>
      <c r="G3" t="n">
        <v>70</v>
      </c>
      <c r="H3" t="n">
        <v>17</v>
      </c>
      <c r="I3" s="6" t="n">
        <v>6100000</v>
      </c>
      <c r="J3" s="7">
        <f>IF(F3="","",G3/F3)</f>
        <v/>
      </c>
      <c r="K3" s="6">
        <f>IF(G3="","",D3/G3)</f>
        <v/>
      </c>
      <c r="L3" s="8">
        <f>IF(I3="","",I3/D3)</f>
        <v/>
      </c>
    </row>
    <row r="4">
      <c r="A4" t="inlineStr">
        <is>
          <t>Hannover Messe</t>
        </is>
      </c>
      <c r="B4" t="inlineStr">
        <is>
          <t>Hannover</t>
        </is>
      </c>
      <c r="C4" t="inlineStr">
        <is>
          <t>Apr 2026</t>
        </is>
      </c>
      <c r="D4" s="6" t="n">
        <v>54000</v>
      </c>
      <c r="E4" t="n">
        <v>61</v>
      </c>
      <c r="F4" t="n">
        <v>188</v>
      </c>
      <c r="G4" t="n">
        <v>49</v>
      </c>
      <c r="H4" t="n">
        <v>14</v>
      </c>
      <c r="I4" s="6" t="n">
        <v>3300000</v>
      </c>
      <c r="J4" s="7">
        <f>IF(F4="","",G4/F4)</f>
        <v/>
      </c>
      <c r="K4" s="6">
        <f>IF(G4="","",D4/G4)</f>
        <v/>
      </c>
      <c r="L4" s="8">
        <f>IF(I4="","",I4/D4)</f>
        <v/>
      </c>
    </row>
    <row r="5">
      <c r="A5" t="inlineStr">
        <is>
          <t>IoT Tech Expo Europe</t>
        </is>
      </c>
      <c r="B5" t="inlineStr">
        <is>
          <t>Amsterdam</t>
        </is>
      </c>
      <c r="C5" t="inlineStr">
        <is>
          <t>Sep 2026</t>
        </is>
      </c>
      <c r="D5" s="6" t="n">
        <v>31000</v>
      </c>
      <c r="E5" t="n">
        <v>44</v>
      </c>
      <c r="F5" t="n">
        <v>156</v>
      </c>
      <c r="G5" t="n">
        <v>38</v>
      </c>
      <c r="H5" t="n">
        <v>9</v>
      </c>
      <c r="I5" s="6" t="n">
        <v>1700000</v>
      </c>
      <c r="J5" s="7">
        <f>IF(F5="","",G5/F5)</f>
        <v/>
      </c>
      <c r="K5" s="6">
        <f>IF(G5="","",D5/G5)</f>
        <v/>
      </c>
      <c r="L5" s="8">
        <f>IF(I5="","",I5/D5)</f>
        <v/>
      </c>
    </row>
    <row r="6">
      <c r="A6" t="inlineStr">
        <is>
          <t>electronica</t>
        </is>
      </c>
      <c r="B6" t="inlineStr">
        <is>
          <t>Munich</t>
        </is>
      </c>
      <c r="C6" t="inlineStr">
        <is>
          <t>Nov 2026</t>
        </is>
      </c>
      <c r="D6" s="6" t="n">
        <v>86000</v>
      </c>
      <c r="I6" s="6" t="n"/>
      <c r="J6" s="7">
        <f>IF(F6="","",G6/F6)</f>
        <v/>
      </c>
      <c r="K6" s="6">
        <f>IF(G6="","",D6/G6)</f>
        <v/>
      </c>
      <c r="L6" s="8">
        <f>IF(I6="","",I6/D6)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2026-10-21T07:43:49Z</dcterms:created>
  <dcterms:modified xmlns:dcterms="http://purl.org/dc/terms/" xmlns:xsi="http://www.w3.org/2001/XMLSchema-instance" xsi:type="dcterms:W3CDTF">2026-10-21T07:43:49Z</dcterms:modified>
</cp:coreProperties>
</file>